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AH Centerized Warehouse\"/>
    </mc:Choice>
  </mc:AlternateContent>
  <xr:revisionPtr revIDLastSave="0" documentId="13_ncr:1_{42C59F66-9412-4E03-9A00-C4C4040029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mera" sheetId="44" r:id="rId1"/>
    <sheet name="Areas" sheetId="2" r:id="rId2"/>
    <sheet name="Building" sheetId="4" r:id="rId3"/>
    <sheet name="Cargo Pallet" sheetId="19" r:id="rId4"/>
    <sheet name="Carton Pallet" sheetId="28" r:id="rId5"/>
    <sheet name="CCTV" sheetId="33" r:id="rId6"/>
    <sheet name="Conveyor" sheetId="12" r:id="rId7"/>
    <sheet name="Cube" sheetId="10" r:id="rId8"/>
    <sheet name="Customer Colours" sheetId="39" r:id="rId9"/>
    <sheet name="Dock Leveller" sheetId="31" r:id="rId10"/>
    <sheet name="Dock Shelter" sheetId="22" r:id="rId11"/>
    <sheet name="Extinguisher" sheetId="32" r:id="rId12"/>
    <sheet name="Fire Exit" sheetId="23" r:id="rId13"/>
    <sheet name="Fire Hose Reel Cabinet" sheetId="37" r:id="rId14"/>
    <sheet name="Forklifts" sheetId="14" r:id="rId15"/>
    <sheet name="Glass Slide Door" sheetId="25" r:id="rId16"/>
    <sheet name="Glass Swing Door" sheetId="24" r:id="rId17"/>
    <sheet name="Hi-Bay Light" sheetId="35" r:id="rId18"/>
    <sheet name="Hydrant" sheetId="38" r:id="rId19"/>
    <sheet name="Lines" sheetId="1" r:id="rId20"/>
    <sheet name="Louver" sheetId="27" r:id="rId21"/>
    <sheet name="Mezzanine" sheetId="8" r:id="rId22"/>
    <sheet name="Office" sheetId="7" r:id="rId23"/>
    <sheet name="Parking Lane" sheetId="40" r:id="rId24"/>
    <sheet name="Raised Floor" sheetId="9" r:id="rId25"/>
    <sheet name="Ramp" sheetId="30" r:id="rId26"/>
    <sheet name="Two Lane Road" sheetId="42" r:id="rId27"/>
    <sheet name="Road Connector" sheetId="43" r:id="rId28"/>
    <sheet name="Room" sheetId="6" r:id="rId29"/>
    <sheet name="Selective Rack" sheetId="18" r:id="rId30"/>
    <sheet name="Shutter" sheetId="20" r:id="rId31"/>
    <sheet name="Slide Door" sheetId="21" r:id="rId32"/>
    <sheet name="Slide Window" sheetId="26" r:id="rId33"/>
    <sheet name="Smoke Detector" sheetId="36" r:id="rId34"/>
    <sheet name="Sprinkler" sheetId="34" r:id="rId35"/>
    <sheet name="Stacker" sheetId="15" r:id="rId36"/>
    <sheet name="Stairs" sheetId="29" r:id="rId37"/>
    <sheet name="Text" sheetId="3" r:id="rId38"/>
    <sheet name="Vehicle" sheetId="16" r:id="rId39"/>
    <sheet name="Wall" sheetId="5" r:id="rId40"/>
    <sheet name="Workbench" sheetId="11" r:id="rId41"/>
    <sheet name="Worker" sheetId="17" r:id="rId42"/>
    <sheet name="Wrapping Machine" sheetId="13" r:id="rId4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8" l="1"/>
  <c r="C14" i="28"/>
  <c r="C15" i="28"/>
  <c r="C16" i="28"/>
  <c r="C17" i="28"/>
  <c r="C18" i="28"/>
  <c r="C19" i="28"/>
  <c r="C12" i="28"/>
  <c r="B14" i="28"/>
  <c r="B15" i="28"/>
  <c r="B16" i="28"/>
  <c r="B17" i="28"/>
  <c r="B18" i="28"/>
  <c r="B19" i="28"/>
  <c r="C7" i="28"/>
  <c r="C8" i="28"/>
  <c r="C9" i="28"/>
  <c r="C10" i="28"/>
  <c r="C11" i="28"/>
  <c r="C6" i="28"/>
  <c r="B7" i="28"/>
  <c r="B8" i="28"/>
  <c r="B9" i="28"/>
  <c r="B10" i="28"/>
  <c r="B11" i="28"/>
  <c r="B12" i="28"/>
  <c r="B13" i="28"/>
  <c r="B6" i="28"/>
  <c r="C16" i="17"/>
  <c r="C17" i="17"/>
  <c r="B16" i="17"/>
  <c r="B17" i="17"/>
  <c r="B15" i="17"/>
  <c r="C15" i="17"/>
  <c r="B10" i="17"/>
  <c r="B11" i="17"/>
  <c r="B12" i="17"/>
  <c r="B13" i="17"/>
  <c r="B14" i="17"/>
  <c r="B9" i="17"/>
  <c r="C10" i="17"/>
  <c r="C11" i="17"/>
  <c r="C12" i="17"/>
  <c r="C13" i="17"/>
  <c r="C14" i="17"/>
  <c r="C9" i="17"/>
  <c r="B39" i="16"/>
  <c r="B40" i="16" s="1"/>
  <c r="B32" i="16"/>
  <c r="B33" i="16" s="1"/>
  <c r="B34" i="16" s="1"/>
  <c r="B35" i="16" s="1"/>
  <c r="B36" i="16" s="1"/>
  <c r="B37" i="16" s="1"/>
  <c r="B21" i="16"/>
  <c r="B22" i="16"/>
  <c r="B23" i="16" s="1"/>
  <c r="B24" i="16" s="1"/>
  <c r="B25" i="16" s="1"/>
  <c r="B26" i="16" s="1"/>
  <c r="B27" i="16" s="1"/>
  <c r="B28" i="16" s="1"/>
  <c r="B29" i="16" s="1"/>
  <c r="B30" i="16" s="1"/>
  <c r="B20" i="16"/>
  <c r="C4" i="16"/>
  <c r="C5" i="16"/>
  <c r="C6" i="16"/>
  <c r="C7" i="16"/>
  <c r="C8" i="16"/>
  <c r="C9" i="16"/>
  <c r="C10" i="16"/>
  <c r="C11" i="16"/>
  <c r="C12" i="16"/>
  <c r="C13" i="16"/>
  <c r="C14" i="16"/>
  <c r="C3" i="16"/>
  <c r="B34" i="40"/>
  <c r="B35" i="40" s="1"/>
  <c r="B36" i="40" s="1"/>
  <c r="B37" i="40" s="1"/>
  <c r="B38" i="40" s="1"/>
  <c r="B39" i="40" s="1"/>
  <c r="B40" i="40" s="1"/>
  <c r="B41" i="40" s="1"/>
  <c r="M40" i="40"/>
  <c r="M41" i="40" s="1"/>
  <c r="B54" i="40"/>
  <c r="B55" i="40"/>
  <c r="B56" i="40"/>
  <c r="B57" i="40"/>
  <c r="B58" i="40"/>
  <c r="B59" i="40"/>
  <c r="B60" i="40"/>
  <c r="B61" i="40"/>
  <c r="B62" i="40"/>
  <c r="B63" i="40"/>
  <c r="B64" i="40"/>
  <c r="B53" i="40"/>
  <c r="C16" i="16"/>
  <c r="C17" i="16"/>
  <c r="C18" i="16"/>
  <c r="C15" i="16"/>
  <c r="C66" i="40"/>
  <c r="C67" i="40"/>
  <c r="C68" i="40"/>
  <c r="C65" i="40"/>
  <c r="B4" i="5"/>
  <c r="B3" i="5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3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Zoom = camera distance to the view point in metres. SMALLER = zoom in, larger = zoom out. Default 160.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Move X = pan the view left (negative) / right (positive), metres. Default 0.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Move Z = pan the view back (negative) / forward (positive), metres. Default 0.</t>
        </r>
      </text>
    </comment>
    <comment ref="D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Angle = horizontal rotation of the camera around the view, degrees (0-360). Default 0.</t>
        </r>
      </text>
    </comment>
    <comment ref="E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Tilt = camera height angle, degrees. 0 = low/eye level, 90 = straight top-down. Default 38.7.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Corner 1.</t>
        </r>
      </text>
    </comment>
    <comment ref="D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Opposite corner. Rectangle drawn between the two points.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Segment start (X1,Z1).</t>
        </r>
      </text>
    </comment>
    <comment ref="D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Segment end (X2,Z2). One envelope wall per row; trace the outline. Leave a gap for a doorway.</t>
        </r>
      </text>
    </comment>
    <comment ref="F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Wall height in metres (default 6).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F2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Load height on each pallet (default 1.2).</t>
        </r>
      </text>
    </comment>
    <comment ref="H2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e.g. {row}-{bay}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1B00-000001000000}">
      <text>
        <r>
          <rPr>
            <sz val="11"/>
            <color theme="1"/>
            <rFont val="Calibri"/>
            <family val="2"/>
            <scheme val="minor"/>
          </rPr>
          <t>Number of cartons (3×3 per layer, stacked up).</t>
        </r>
      </text>
    </comment>
    <comment ref="G2" authorId="0" shapeId="0" xr:uid="{00000000-0006-0000-1B00-000002000000}">
      <text>
        <r>
          <rPr>
            <sz val="11"/>
            <color theme="1"/>
            <rFont val="Calibri"/>
            <family val="2"/>
            <scheme val="minor"/>
          </rPr>
          <t>Pallet footprint ≈ 1.2 × 1.0 m; height grows with the count. Sits on the raised floor under it.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Mount height above the floor.</t>
        </r>
      </text>
    </comment>
    <comment ref="G2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0.5 × 0.6 × 0.4 m (W×L×H). Leave blank to use built-in size; enter to scale.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Near corner. Length is the run (rotated by Orientation); Width is across.</t>
        </r>
      </text>
    </comment>
    <comment ref="D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Default 4.0 m run x 0.8 m wide.</t>
        </r>
      </text>
    </comment>
    <comment ref="F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Top-surface (belt) height in metres (default 0.7).</t>
        </r>
      </text>
    </comment>
    <comment ref="H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Tints the side frames. Rests on the raised floor under it automatically.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Near corner. Extends +Width along X, +Length along Z.</t>
        </r>
      </text>
    </comment>
    <comment ref="F2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Box height. Sits on the floor (or the raised floor under it).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F2" authorId="0" shapeId="0" xr:uid="{00000000-0006-0000-1E00-000001000000}">
      <text>
        <r>
          <rPr>
            <sz val="11"/>
            <color theme="1"/>
            <rFont val="Calibri"/>
            <family val="2"/>
            <scheme val="minor"/>
          </rPr>
          <t>W = width (m). Built-in size ≈ 2.4 × 2.5 × 0.6 m (W×L×H). Leave blank to use built-in size; enter to scale. Deck sits on the raised floor under it automatically; faces the truck side.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Place at the same X / Z / Orientation as the Shutter it frames; it sits on the floor (or dock floor) under it.</t>
        </r>
      </text>
    </comment>
    <comment ref="E2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Tints the padded curtains (default dark). Frame projects out from the +Z wall face — turn it to the truck side with Orientation.</t>
        </r>
      </text>
    </comment>
    <comment ref="F2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W = width (m). Built-in size ≈ 3.0 × 0.7 × 4.0 m (W×L×H). Leave blank to use built-in size; enter to scale.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1F00-000001000000}">
      <text>
        <r>
          <rPr>
            <sz val="11"/>
            <color theme="1"/>
            <rFont val="Calibri"/>
            <family val="2"/>
            <scheme val="minor"/>
          </rPr>
          <t>Centre height above the floor.</t>
        </r>
      </text>
    </comment>
    <comment ref="G2" authorId="0" shapeId="0" xr:uid="{00000000-0006-0000-1F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0.9 × 0.5 × 1.7 m (W×L×H). Leave blank to use built-in size; enter to scale.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E2" authorId="0" shapeId="0" xr:uid="{82ED2623-7FD4-488F-B24D-5EE36E3D32FF}">
      <text>
        <r>
          <rPr>
            <sz val="11"/>
            <color theme="1"/>
            <rFont val="Calibri"/>
            <family val="2"/>
            <scheme val="minor"/>
          </rPr>
          <t>Floor Distance = elevation above the raised floor (m). 0 = on the floor.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2400-000001000000}">
      <text>
        <r>
          <rPr>
            <sz val="11"/>
            <color theme="1"/>
            <rFont val="Calibri"/>
            <family val="2"/>
            <scheme val="minor"/>
          </rPr>
          <t>Placement point (cabinet centre). Faces +Z, turned by Orientation; put its back to a wall.</t>
        </r>
      </text>
    </comment>
    <comment ref="E2" authorId="0" shapeId="0" xr:uid="{00000000-0006-0000-2400-000002000000}">
      <text>
        <r>
          <rPr>
            <sz val="11"/>
            <color theme="1"/>
            <rFont val="Calibri"/>
            <family val="2"/>
            <scheme val="minor"/>
          </rPr>
          <t>Height of the cabinet base above the floor (default 0.2; 0 = floor-standing).</t>
        </r>
      </text>
    </comment>
    <comment ref="F2" authorId="0" shapeId="0" xr:uid="{00000000-0006-0000-2400-000003000000}">
      <text>
        <r>
          <rPr>
            <sz val="11"/>
            <color theme="1"/>
            <rFont val="Calibri"/>
            <family val="2"/>
            <scheme val="minor"/>
          </rPr>
          <t>Tints the cabinet (default red). Rests on the raised floor under it automatically.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E2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cb = counterbalance · rt = reach truck · pp = push-pull.</t>
        </r>
      </text>
    </comment>
    <comment ref="F2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Extra height above the floor it stands on (the raised floor is added automatically). 0 / blank = on that floor.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G2" authorId="0" shapeId="0" xr:uid="{00000000-0006-0000-1800-000001000000}">
      <text>
        <r>
          <rPr>
            <sz val="11"/>
            <color theme="1"/>
            <rFont val="Calibri"/>
            <family val="2"/>
            <scheme val="minor"/>
          </rPr>
          <t>W = width (m). Built-in size ≈ 2.0 × 0.2 × 2.1 m (W×L×H). Leave blank to use built-in size; enter to scale.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G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W = width (m). Built-in size ≈ 1.0 × 0.2 × 2.1 m (W×L×H). Leave blank to use built-in size; enter to scale.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Ceiling height the fitting hangs from.</t>
        </r>
      </text>
    </comment>
    <comment ref="F2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0.8 × 0.8 × 0.6 m (W×L×H). Leave blank to use built-in size; enter to scale.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2500-000001000000}">
      <text>
        <r>
          <rPr>
            <sz val="11"/>
            <color theme="1"/>
            <rFont val="Calibri"/>
            <family val="2"/>
            <scheme val="minor"/>
          </rPr>
          <t>Placement point (hydrant centre). Orientation turns the side outlets.</t>
        </r>
      </text>
    </comment>
    <comment ref="E2" authorId="0" shapeId="0" xr:uid="{00000000-0006-0000-2500-000002000000}">
      <text>
        <r>
          <rPr>
            <sz val="11"/>
            <color theme="1"/>
            <rFont val="Calibri"/>
            <family val="2"/>
            <scheme val="minor"/>
          </rPr>
          <t>Total hydrant height in metres (default 1.05).</t>
        </r>
      </text>
    </comment>
    <comment ref="F2" authorId="0" shapeId="0" xr:uid="{00000000-0006-0000-2500-000003000000}">
      <text>
        <r>
          <rPr>
            <sz val="11"/>
            <color theme="1"/>
            <rFont val="Calibri"/>
            <family val="2"/>
            <scheme val="minor"/>
          </rPr>
          <t>Tints the body (default red). Rests on the raised floor under it automatically.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Point 1 (start).</t>
        </r>
      </text>
    </comment>
    <comment ref="D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Point 2 (end). One straight segment per row.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E2" authorId="0" shapeId="0" xr:uid="{6B3DFFF8-9482-4936-ADE5-FC2ECD8E1925}">
      <text>
        <r>
          <rPr>
            <sz val="11"/>
            <color theme="1"/>
            <rFont val="Calibri"/>
            <family val="2"/>
            <scheme val="minor"/>
          </rPr>
          <t>W = vertical height of the louver up the wall (m).</t>
        </r>
      </text>
    </comment>
    <comment ref="F2" authorId="0" shapeId="0" xr:uid="{9FD91392-C40A-49A0-859C-46F9FA70CB79}">
      <text>
        <r>
          <rPr>
            <sz val="11"/>
            <color theme="1"/>
            <rFont val="Calibri"/>
            <family val="2"/>
            <scheme val="minor"/>
          </rPr>
          <t>L = horizontal length of the louver along the wall (m).</t>
        </r>
      </text>
    </comment>
    <comment ref="G2" authorId="0" shapeId="0" xr:uid="{C69FD4F5-8B1C-4D18-A9A4-244463889374}">
      <text>
        <r>
          <rPr>
            <sz val="11"/>
            <color theme="1"/>
            <rFont val="Calibri"/>
            <family val="2"/>
            <scheme val="minor"/>
          </rPr>
          <t>H = depth / projection of the louver out from the wall (m).</t>
        </r>
      </text>
    </comment>
    <comment ref="H2" authorId="0" shapeId="0" xr:uid="{FCFE512E-3076-43E4-BE47-2FF84EE22EB1}">
      <text>
        <r>
          <rPr>
            <sz val="11"/>
            <color theme="1"/>
            <rFont val="Calibri"/>
            <family val="2"/>
            <scheme val="minor"/>
          </rPr>
          <t>Floor Distance = height of the louver bottom edge above the floor (m).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Near corner. Width runs along X, Length along Z, then turned by Orientation.</t>
        </r>
      </text>
    </comment>
    <comment ref="D2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Number of stacked deck levels (1 = a single mezzanine floor).</t>
        </r>
      </text>
    </comment>
    <comment ref="G2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Height of EACH level in metres (default 3). Top deck = Levels x Floor Height.</t>
        </r>
      </text>
    </comment>
    <comment ref="I2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show = put pallet racking (with cartons) on every deck; hide = bare platform.</t>
        </r>
      </text>
    </comment>
    <comment ref="J2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Tints the columns/beams (default blue); decks grey, guardrails orange. Use the Stairs feature for access. Rests on the floor (or raised floor) under it.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Corner 1 of the office footprint.</t>
        </r>
      </text>
    </comment>
    <comment ref="D2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Opposite corner. Multi-storey shell: perimeter walls + a floor slab between every storey + a roof slab.</t>
        </r>
      </text>
    </comment>
    <comment ref="F2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Number of storeys, e.g. 2. Change anytime.</t>
        </r>
      </text>
    </comment>
    <comment ref="G2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Height of EACH storey in metres (default 3). Total height = Floors x Floor Height.</t>
        </r>
      </text>
    </comment>
    <comment ref="I2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Doors/windows come from the Fixture sheets and sit on the ground floor. Anchored to the ground like Room.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Bay number is painted on the floor (= this Name).</t>
        </r>
      </text>
    </comment>
    <comment ref="D2" authorId="0" shapeId="0" xr:uid="{FFB6856A-8BD6-4E6A-8F31-52CAB04D9727}">
      <text>
        <r>
          <rPr>
            <sz val="11"/>
            <color theme="1"/>
            <rFont val="Calibri"/>
            <family val="2"/>
            <scheme val="minor"/>
          </rPr>
          <t>Label = text painted on the floor. May repeat across bays (e.g. truck lane 1 and car lane 1). Blank falls back to Name.</t>
        </r>
      </text>
    </comment>
    <comment ref="F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W = bay width across the entrance (m).</t>
        </r>
      </text>
    </comment>
    <comment ref="G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L = bay length / depth (m).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Corner 1 of the raised region.</t>
        </r>
      </text>
    </comment>
    <comment ref="D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Opposite corner. Drawn as a real floor slab from the ground up to Floor Height.</t>
        </r>
      </text>
    </comment>
    <comment ref="F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Top surface height in metres. ANY feature whose X,Z position sits inside this region automatically rests on it; outside = ground (0). Define one region per raised area.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H2" authorId="0" shapeId="0" xr:uid="{00000000-0006-0000-1D00-000001000000}">
      <text>
        <r>
          <rPr>
            <sz val="11"/>
            <color theme="1"/>
            <rFont val="Calibri"/>
            <family val="2"/>
            <scheme val="minor"/>
          </rPr>
          <t>H = top height the ramp climbs to (m). Long gentle slope, ascends in the Orientation direction. W≈3.6 wide; L (run) ≈ 4×H.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E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 = total road width covering BOTH lanes (m). Centre line sits at W/2.</t>
        </r>
      </text>
    </comment>
    <comment ref="F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 = road length (m). Centre line is dashed along this direction.</t>
        </r>
      </text>
    </comment>
    <comment ref="G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 paint colour (hex). Blank = white.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schema</author>
  </authors>
  <commentList>
    <comment ref="D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Orientation = START heading of the curve, ANY degree (0-359). No dropdown - type any value.</t>
        </r>
      </text>
    </comment>
    <comment ref="E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Radius = curve radius to the centre line (m). Bigger = gentler curve.</t>
        </r>
      </text>
    </comment>
    <comment ref="F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Arc = how many degrees the road bends. + turns one way, - turns the other. Any degree.</t>
        </r>
      </text>
    </comment>
    <comment ref="G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W = road width covering both lanes (m).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Corner 1 of the room footprint.</t>
        </r>
      </text>
    </comment>
    <comment ref="D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Opposite corner. 4 walls, no roof. Add a door from the Glass Swing/Slide or Shutter sheet on the wall.</t>
        </r>
      </text>
    </comment>
    <comment ref="F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Wall height in metres (default 4).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G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Upright/post height in metres.</t>
        </r>
      </text>
    </comment>
    <comment ref="J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e.g. {row}-{level}-{column}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Facing direction.</t>
        </r>
      </text>
    </comment>
    <comment ref="E2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open = curtain rolled up (cuts the building wall); close = shut.</t>
        </r>
      </text>
    </comment>
    <comment ref="G2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W = width (m). Built-in size ≈ 3.0 × 0.3 × 4.0 m (W×L×H). Leave blank to use built-in size; enter to scale. Sits on the raised floor under it automatically.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G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W = width (m). Built-in size ≈ 3.0 × 0.3 × 4.0 m (W×L×H). Leave blank to use built-in size; enter to scale.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1900-000001000000}">
      <text>
        <r>
          <rPr>
            <sz val="11"/>
            <color theme="1"/>
            <rFont val="Calibri"/>
            <family val="2"/>
            <scheme val="minor"/>
          </rPr>
          <t>Centre height of the window above the floor.</t>
        </r>
      </text>
    </comment>
    <comment ref="H2" authorId="0" shapeId="0" xr:uid="{00000000-0006-0000-19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1.8 × 0.2 × 1.2 m (W×L×H). Leave blank to use built-in size; enter to scale.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Ceiling height the detector sits at.</t>
        </r>
      </text>
    </comment>
    <comment ref="F2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0.7 × 0.7 × 0.2 m (W×L×H). Leave blank to use built-in size; enter to scale.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2100-000001000000}">
      <text>
        <r>
          <rPr>
            <sz val="11"/>
            <color theme="1"/>
            <rFont val="Calibri"/>
            <family val="2"/>
            <scheme val="minor"/>
          </rPr>
          <t>Ceiling height the head hangs from (absolute, not affected by raised floor).</t>
        </r>
      </text>
    </comment>
    <comment ref="F2" authorId="0" shapeId="0" xr:uid="{00000000-0006-0000-2100-000002000000}">
      <text>
        <r>
          <rPr>
            <sz val="11"/>
            <color theme="1"/>
            <rFont val="Calibri"/>
            <family val="2"/>
            <scheme val="minor"/>
          </rPr>
          <t>W = width (m). Built-in size ≈ 0.7 × 0.7 × 0.6 m (W×L×H). Leave blank to use built-in size; enter to scale.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Near corner of its footprint; forks reach toward +X (turned by Orientation).</t>
        </r>
      </text>
    </comment>
    <comment ref="E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Mast height in metres (default 2.2). Forks sit at floor level.</t>
        </r>
      </text>
    </comment>
    <comment ref="F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Tints the power-unit body (default yellow); mast stays grey. Rests on the raised floor under it automatically.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H2" authorId="0" shapeId="0" xr:uid="{00000000-0006-0000-1C00-000001000000}">
      <text>
        <r>
          <rPr>
            <sz val="11"/>
            <color theme="1"/>
            <rFont val="Calibri"/>
            <family val="2"/>
            <scheme val="minor"/>
          </rPr>
          <t>H = top height the stairs climb to (m). Ascends in the Orientation direction. W≈1.2 wide; L (run) grows with H.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D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The label text to display.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E2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container = truck head + container/trailer · jack = container left on jack stands · 4w = 4-wheel box truck · 6w = 6-wheel open-side flatbed · 12m = 12 m curtain-side (open) truck · car = passenger car (smallest).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Point 1.</t>
        </r>
      </text>
    </comment>
    <comment ref="D2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Point 2. One straight barrier per row.</t>
        </r>
      </text>
    </comment>
    <comment ref="F2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Height in metres (default 2).</t>
        </r>
      </text>
    </comment>
    <comment ref="H2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mesh = see-through fence, solid = solid wall.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Near corner. Width runs along X, Length is the depth along Z (rotated by Orientation).</t>
        </r>
      </text>
    </comment>
    <comment ref="D2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Default 2.0 x 0.8 m.</t>
        </r>
      </text>
    </comment>
    <comment ref="F2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Work-surface height in metres (default 0.9). Pegboard sits on the far depth edge.</t>
        </r>
      </text>
    </comment>
    <comment ref="H2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Tints the tabletop. Rests on the raised floor under it automatically.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E2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standing · walking · picking · pushing · writing · scanning · officer (seated at a desk with a computer).</t>
        </r>
      </text>
    </comment>
    <comment ref="F2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Optional hi-vis vest colour (blank = orange).</t>
        </r>
      </text>
    </comment>
    <comment ref="G2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Extra height above the floor it stands on (raised floor added automatically). 0 / blank = on that floor.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B2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Near corner of the footprint. Turntable sits at the anchor; mast is on the +X side (rotated by Orientation).</t>
        </r>
      </text>
    </comment>
    <comment ref="D2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Turntable diameter in metres (default 1.5).</t>
        </r>
      </text>
    </comment>
    <comment ref="E2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Mast height in metres (default 2.6).</t>
        </r>
      </text>
    </comment>
    <comment ref="G2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Tints the turntable and film carriage (default yellow); mast stays charcoal. Rests on the raised floor under it automatically.</t>
        </r>
      </text>
    </comment>
  </commentList>
</comments>
</file>

<file path=xl/sharedStrings.xml><?xml version="1.0" encoding="utf-8"?>
<sst xmlns="http://schemas.openxmlformats.org/spreadsheetml/2006/main" count="1186" uniqueCount="516">
  <si>
    <t>LINES</t>
  </si>
  <si>
    <t>Name</t>
  </si>
  <si>
    <t>X1 (m)</t>
  </si>
  <si>
    <t>Z1 (m)</t>
  </si>
  <si>
    <t>X2 (m)</t>
  </si>
  <si>
    <t>Z2 (m)</t>
  </si>
  <si>
    <t>Colour (hex)</t>
  </si>
  <si>
    <t>AREAS</t>
  </si>
  <si>
    <t>UNUSE</t>
  </si>
  <si>
    <t>STAGING1</t>
  </si>
  <si>
    <t>9BBB59</t>
  </si>
  <si>
    <t>DRIVEWAY1</t>
  </si>
  <si>
    <t>00B050</t>
  </si>
  <si>
    <t>DRIVEWAY2</t>
  </si>
  <si>
    <t>DRIVEWAY3</t>
  </si>
  <si>
    <t>STAGING2</t>
  </si>
  <si>
    <t>TEXT</t>
  </si>
  <si>
    <t>X (m)</t>
  </si>
  <si>
    <t>Z (m)</t>
  </si>
  <si>
    <t>Text</t>
  </si>
  <si>
    <t>Orientation</t>
  </si>
  <si>
    <t>ffffff</t>
  </si>
  <si>
    <t>BUILDING</t>
  </si>
  <si>
    <t>Wall Height (m)</t>
  </si>
  <si>
    <t>Style</t>
  </si>
  <si>
    <t>BW1</t>
  </si>
  <si>
    <t>opaque</t>
  </si>
  <si>
    <t>c8ccd2</t>
  </si>
  <si>
    <t>BW2</t>
  </si>
  <si>
    <t>BW3</t>
  </si>
  <si>
    <t>BW4</t>
  </si>
  <si>
    <t>BW5</t>
  </si>
  <si>
    <t>BW6</t>
  </si>
  <si>
    <t>WALL</t>
  </si>
  <si>
    <t>Style (solid/mesh)</t>
  </si>
  <si>
    <t>Fence1</t>
  </si>
  <si>
    <t>FFC000</t>
  </si>
  <si>
    <t>mesh</t>
  </si>
  <si>
    <t>Fence2</t>
  </si>
  <si>
    <t>Fence3</t>
  </si>
  <si>
    <t>ROOM</t>
  </si>
  <si>
    <t>OFFICE1</t>
  </si>
  <si>
    <t>OFFICE2</t>
  </si>
  <si>
    <t>OFFICE3</t>
  </si>
  <si>
    <t>OFFICE</t>
  </si>
  <si>
    <t>Floors</t>
  </si>
  <si>
    <t>Floor Height (m)</t>
  </si>
  <si>
    <t>MEZZANINE</t>
  </si>
  <si>
    <t>Levels</t>
  </si>
  <si>
    <t>Width (m)</t>
  </si>
  <si>
    <t>Length (m)</t>
  </si>
  <si>
    <t>Shelves</t>
  </si>
  <si>
    <t>RAISED FLOOR</t>
  </si>
  <si>
    <t>CUBE</t>
  </si>
  <si>
    <t>Box Height (m)</t>
  </si>
  <si>
    <t>WORKBENCH</t>
  </si>
  <si>
    <t>Bench Height (m)</t>
  </si>
  <si>
    <t>CONVEYOR</t>
  </si>
  <si>
    <t>Belt Height (m)</t>
  </si>
  <si>
    <t>WRAPPING MACHINE</t>
  </si>
  <si>
    <t>Turntable Diameter (m)</t>
  </si>
  <si>
    <t>Mast Height (m)</t>
  </si>
  <si>
    <t>FORKLIFTS</t>
  </si>
  <si>
    <t>Type</t>
  </si>
  <si>
    <t>Floor Distance (m)</t>
  </si>
  <si>
    <t>FL1</t>
  </si>
  <si>
    <t>cb</t>
  </si>
  <si>
    <t>FL2</t>
  </si>
  <si>
    <t>STACKER</t>
  </si>
  <si>
    <t>VEHICLE</t>
  </si>
  <si>
    <t>CONTAINER1</t>
  </si>
  <si>
    <t>container</t>
  </si>
  <si>
    <t>CONTAINER2</t>
  </si>
  <si>
    <t>CONTAINER3</t>
  </si>
  <si>
    <t>CONTAINER4</t>
  </si>
  <si>
    <t>CONTAINER5</t>
  </si>
  <si>
    <t>CONTAINER6</t>
  </si>
  <si>
    <t>CONTAINER7</t>
  </si>
  <si>
    <t>CONTAINER8</t>
  </si>
  <si>
    <t>CONTAINER9</t>
  </si>
  <si>
    <t>CONTAINER10</t>
  </si>
  <si>
    <t>CONTAINER11</t>
  </si>
  <si>
    <t>CONTAINER12</t>
  </si>
  <si>
    <t>WORKER</t>
  </si>
  <si>
    <t>Activity</t>
  </si>
  <si>
    <t>Vest Colour (hex)</t>
  </si>
  <si>
    <t>standing</t>
  </si>
  <si>
    <t>walking</t>
  </si>
  <si>
    <t>picking</t>
  </si>
  <si>
    <t>pushing</t>
  </si>
  <si>
    <t>writing</t>
  </si>
  <si>
    <t>SELECTIVE RACK</t>
  </si>
  <si>
    <t>Bays</t>
  </si>
  <si>
    <t>Pallets Per Bay</t>
  </si>
  <si>
    <t>Post Height (m)</t>
  </si>
  <si>
    <t>Location Pattern</t>
  </si>
  <si>
    <t>D13</t>
  </si>
  <si>
    <t>e8842b</t>
  </si>
  <si>
    <t>{row}-{level}-{column}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</si>
  <si>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</si>
  <si>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</si>
  <si>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</si>
  <si>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</si>
  <si>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</si>
  <si>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</si>
  <si>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</si>
  <si>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</si>
  <si>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</si>
  <si>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</si>
  <si>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</si>
  <si>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</si>
  <si>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C12</t>
  </si>
  <si>
    <t>C11</t>
  </si>
  <si>
    <t>C10</t>
  </si>
  <si>
    <t>C9</t>
  </si>
  <si>
    <t>C8</t>
  </si>
  <si>
    <t>C7</t>
  </si>
  <si>
    <t>C6</t>
  </si>
  <si>
    <t>C5</t>
  </si>
  <si>
    <t>C4</t>
  </si>
  <si>
    <t>C3</t>
  </si>
  <si>
    <t>C2</t>
  </si>
  <si>
    <t>C1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</si>
  <si>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</si>
  <si>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</si>
  <si>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</si>
  <si>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</si>
  <si>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</si>
  <si>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</si>
  <si>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</si>
  <si>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</si>
  <si>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</si>
  <si>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</si>
  <si>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</si>
  <si>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</si>
  <si>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</si>
  <si>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</si>
  <si>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</si>
  <si>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</si>
  <si>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A27</t>
  </si>
  <si>
    <t>A26</t>
  </si>
  <si>
    <t>A25</t>
  </si>
  <si>
    <t>A24</t>
  </si>
  <si>
    <t>A23</t>
  </si>
  <si>
    <t>A22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</si>
  <si>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</si>
  <si>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</si>
  <si>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</si>
  <si>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</si>
  <si>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</si>
  <si>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</si>
  <si>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</si>
  <si>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</si>
  <si>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</si>
  <si>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</si>
  <si>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</si>
  <si>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</si>
  <si>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</si>
  <si>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</si>
  <si>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</si>
  <si>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</si>
  <si>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</si>
  <si>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</si>
  <si>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</si>
  <si>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</si>
  <si>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</si>
  <si>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CARGO PALLET</t>
  </si>
  <si>
    <t>Count</t>
  </si>
  <si>
    <t>Cargo Height (m)</t>
  </si>
  <si>
    <t>F1</t>
  </si>
  <si>
    <t>9aa3ad</t>
  </si>
  <si>
    <t>{row}-{bay}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</si>
  <si>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</si>
  <si>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</si>
  <si>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</si>
  <si>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</si>
  <si>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</si>
  <si>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</si>
  <si>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</si>
  <si>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</si>
  <si>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</si>
  <si>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</si>
  <si>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</si>
  <si>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</si>
  <si>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</si>
  <si>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</si>
  <si>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</si>
  <si>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</si>
  <si>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</si>
  <si>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</si>
  <si>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</si>
  <si>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</si>
  <si>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</si>
  <si>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</si>
  <si>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</si>
  <si>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</si>
  <si>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</si>
  <si>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</si>
  <si>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</si>
  <si>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</si>
  <si>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</si>
  <si>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</si>
  <si>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</si>
  <si>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</si>
  <si>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</si>
  <si>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</si>
  <si>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</si>
  <si>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</si>
  <si>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</si>
  <si>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</si>
  <si>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</si>
  <si>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</si>
  <si>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</si>
  <si>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NG2-1</t>
  </si>
  <si>
    <t>NG2-2</t>
  </si>
  <si>
    <t>NG2-3</t>
  </si>
  <si>
    <t>NG2-4</t>
  </si>
  <si>
    <t>NG2-5</t>
  </si>
  <si>
    <t>NG2-6</t>
  </si>
  <si>
    <t>NG2-7</t>
  </si>
  <si>
    <t>NG2-8</t>
  </si>
  <si>
    <t>NG2-9</t>
  </si>
  <si>
    <t>NG2-10</t>
  </si>
  <si>
    <t>NG1-1</t>
  </si>
  <si>
    <t>NG1-2</t>
  </si>
  <si>
    <t>NG1-3</t>
  </si>
  <si>
    <t>NG1-4</t>
  </si>
  <si>
    <t>NG1-5</t>
  </si>
  <si>
    <t>NG1-6</t>
  </si>
  <si>
    <t>NG1-7</t>
  </si>
  <si>
    <t>NG1-8</t>
  </si>
  <si>
    <t>NG1-9</t>
  </si>
  <si>
    <t>NG1-10</t>
  </si>
  <si>
    <t>SHUTTER</t>
  </si>
  <si>
    <t>State</t>
  </si>
  <si>
    <t>W (m)</t>
  </si>
  <si>
    <t>L (m)</t>
  </si>
  <si>
    <t>H (m)</t>
  </si>
  <si>
    <t>close</t>
  </si>
  <si>
    <t>open</t>
  </si>
  <si>
    <t>SLIDE DOOR</t>
  </si>
  <si>
    <t>DOCK SHELTER</t>
  </si>
  <si>
    <t>FIRE EXIT</t>
  </si>
  <si>
    <t>FIRE EXIT1</t>
  </si>
  <si>
    <t>FIRE EXIT2</t>
  </si>
  <si>
    <t>GLASS SWING DOOR</t>
  </si>
  <si>
    <t>GLASS SLIDE DOOR</t>
  </si>
  <si>
    <t>SLIDE WINDOW</t>
  </si>
  <si>
    <t>Sill Height (m)</t>
  </si>
  <si>
    <t>LOUVER</t>
  </si>
  <si>
    <t>LOUVER1</t>
  </si>
  <si>
    <t>LOUVER2</t>
  </si>
  <si>
    <t>LOUVER3</t>
  </si>
  <si>
    <t>CARTON PALLET</t>
  </si>
  <si>
    <t>Carton Count</t>
  </si>
  <si>
    <t>STAIRS</t>
  </si>
  <si>
    <t>Stair1</t>
  </si>
  <si>
    <t>Stair2</t>
  </si>
  <si>
    <t>Stair3</t>
  </si>
  <si>
    <t>RAMP</t>
  </si>
  <si>
    <t>Ramp1</t>
  </si>
  <si>
    <t>Ramp2</t>
  </si>
  <si>
    <t>Ramp4</t>
  </si>
  <si>
    <t>DOCK LEVELLER</t>
  </si>
  <si>
    <t>Dock1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</si>
  <si>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</si>
  <si>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</si>
  <si>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</si>
  <si>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</si>
  <si>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</si>
  <si>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</si>
  <si>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</si>
  <si>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</si>
  <si>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Dock10</t>
  </si>
  <si>
    <t>Dock11</t>
  </si>
  <si>
    <t>Dock12</t>
  </si>
  <si>
    <t>Dock13</t>
  </si>
  <si>
    <t>Dock14</t>
  </si>
  <si>
    <t>Dock15</t>
  </si>
  <si>
    <t>Dock16</t>
  </si>
  <si>
    <t>EXTINGUISHER</t>
  </si>
  <si>
    <t>Mount Height (m)</t>
  </si>
  <si>
    <t>CCTV</t>
  </si>
  <si>
    <t>SPRINKLER</t>
  </si>
  <si>
    <t>Ceiling Height (m)</t>
  </si>
  <si>
    <t>HI-BAY LIGHT</t>
  </si>
  <si>
    <t>SMOKE DETECTOR</t>
  </si>
  <si>
    <t>FIRE HOSE REEL CABINET</t>
  </si>
  <si>
    <t>HYDRANT</t>
  </si>
  <si>
    <t>Height (m)</t>
  </si>
  <si>
    <t>CUSTOMER COLOURS</t>
  </si>
  <si>
    <t>Customer</t>
  </si>
  <si>
    <t>POST Sterirized</t>
  </si>
  <si>
    <t>BB9464</t>
  </si>
  <si>
    <t>RM &amp; OTHERS</t>
  </si>
  <si>
    <t>PRE Sterile</t>
  </si>
  <si>
    <t>NG-POST</t>
  </si>
  <si>
    <t>FF0000</t>
  </si>
  <si>
    <t>NG-PRE</t>
  </si>
  <si>
    <t>Platform1</t>
  </si>
  <si>
    <t>Platform2</t>
  </si>
  <si>
    <t>Dock Shelter 1</t>
  </si>
  <si>
    <t>Dock Shelter 2</t>
  </si>
  <si>
    <t>Dock Shelter 3</t>
  </si>
  <si>
    <t>Dock Shelter 4</t>
  </si>
  <si>
    <t>Shutter Door 1</t>
  </si>
  <si>
    <t>Shutter Door 2</t>
  </si>
  <si>
    <t>Shutter Door 3</t>
  </si>
  <si>
    <t>Shutter Door 4</t>
  </si>
  <si>
    <t>Shutter Door 5</t>
  </si>
  <si>
    <t>Shutter Door 6</t>
  </si>
  <si>
    <t>Shutter Door 7</t>
  </si>
  <si>
    <t>Shutter Door 8</t>
  </si>
  <si>
    <t>Shutter Door 9</t>
  </si>
  <si>
    <t>Shutter Door 10</t>
  </si>
  <si>
    <t>Shutter Door 11</t>
  </si>
  <si>
    <t>Shutter Door 12</t>
  </si>
  <si>
    <t>Shutter Door 17</t>
  </si>
  <si>
    <t>Shutter Door 18</t>
  </si>
  <si>
    <t>Shutter Door 19</t>
  </si>
  <si>
    <t>Dock17</t>
  </si>
  <si>
    <t>Dock18</t>
  </si>
  <si>
    <t>Dock19</t>
  </si>
  <si>
    <t>NG PRE</t>
  </si>
  <si>
    <t>Prepare PRE</t>
  </si>
  <si>
    <t>00B0F0</t>
  </si>
  <si>
    <t>Prepare POST</t>
  </si>
  <si>
    <t>NG POST</t>
  </si>
  <si>
    <t>TEXT Prepare PRE</t>
  </si>
  <si>
    <t>PREPARE PRE</t>
  </si>
  <si>
    <t>Size (m)</t>
  </si>
  <si>
    <t>TEXT Prepare POST</t>
  </si>
  <si>
    <t>PREPARE POST</t>
  </si>
  <si>
    <t>TEXT NG PRE</t>
  </si>
  <si>
    <t>TEXT NG POST</t>
  </si>
  <si>
    <t>RESERVED AREA</t>
  </si>
  <si>
    <t>Reserved Area</t>
  </si>
  <si>
    <t>Floor Inside Front</t>
  </si>
  <si>
    <t>Floor Inside Back</t>
  </si>
  <si>
    <t>CONTAINER13</t>
  </si>
  <si>
    <t>CONTAINER14</t>
  </si>
  <si>
    <t>CONTAINER15</t>
  </si>
  <si>
    <t>CONTAINER16</t>
  </si>
  <si>
    <t>PARKING LANE</t>
  </si>
  <si>
    <t>FFFFFF</t>
  </si>
  <si>
    <t>Label</t>
  </si>
  <si>
    <t>Truck Parking 30</t>
  </si>
  <si>
    <t>Truck Parking 29</t>
  </si>
  <si>
    <t>Truck Parking 28</t>
  </si>
  <si>
    <t>Truck Parking 27</t>
  </si>
  <si>
    <t>Truck Parking 26</t>
  </si>
  <si>
    <t>Truck Parking 25</t>
  </si>
  <si>
    <t>Truck Parking 24</t>
  </si>
  <si>
    <t>Truck Parking 23</t>
  </si>
  <si>
    <t>Truck Parking 22</t>
  </si>
  <si>
    <t>Truck Parking 21</t>
  </si>
  <si>
    <t>Truck Parking 20</t>
  </si>
  <si>
    <t>Truck Parking 19</t>
  </si>
  <si>
    <t>Truck Parking 18</t>
  </si>
  <si>
    <t>Truck Parking 17</t>
  </si>
  <si>
    <t>Truck Parking 16</t>
  </si>
  <si>
    <t>Truck Parking 15</t>
  </si>
  <si>
    <t>Truck Parking 14</t>
  </si>
  <si>
    <t>Truck Parking 13</t>
  </si>
  <si>
    <t>Truck Parking 12</t>
  </si>
  <si>
    <t>Truck Parking 11</t>
  </si>
  <si>
    <t>Truck Parking 10</t>
  </si>
  <si>
    <t>Truck Parking 9</t>
  </si>
  <si>
    <t>Truck Parking 8</t>
  </si>
  <si>
    <t>Truck Parking 7</t>
  </si>
  <si>
    <t>Truck Parking 6</t>
  </si>
  <si>
    <t>Truck Parking 5</t>
  </si>
  <si>
    <t>Truck Parking 4</t>
  </si>
  <si>
    <t>Truck Parking 3</t>
  </si>
  <si>
    <t>Truck Parking 2</t>
  </si>
  <si>
    <t>Truck Parking 1</t>
  </si>
  <si>
    <t>Car Parking 10</t>
  </si>
  <si>
    <t>Car Parking 1</t>
  </si>
  <si>
    <t>Car Parking 2</t>
  </si>
  <si>
    <t>Car Parking 3</t>
  </si>
  <si>
    <t>Car Parking 4</t>
  </si>
  <si>
    <t>Car Parking 5</t>
  </si>
  <si>
    <t>Car Parking 6</t>
  </si>
  <si>
    <t>Car Parking 7</t>
  </si>
  <si>
    <t>Car Parking 8</t>
  </si>
  <si>
    <t>Car Parking 9</t>
  </si>
  <si>
    <t>Truck Loading  1</t>
  </si>
  <si>
    <t>Truck Loading  2</t>
  </si>
  <si>
    <t>Truck Loading  3</t>
  </si>
  <si>
    <t>Truck Loading  4</t>
  </si>
  <si>
    <t>Truck Loading  5</t>
  </si>
  <si>
    <t>Truck Loading  6</t>
  </si>
  <si>
    <t>Truck Loading  7</t>
  </si>
  <si>
    <t>Truck Loading  8</t>
  </si>
  <si>
    <t>Truck Loading  9</t>
  </si>
  <si>
    <t>Truck Loading  10</t>
  </si>
  <si>
    <t>Truck Loading  11</t>
  </si>
  <si>
    <t>Truck Loading  12</t>
  </si>
  <si>
    <t>Truck Loading  13</t>
  </si>
  <si>
    <t>Truck Loading  14</t>
  </si>
  <si>
    <t>Truck Loading  15</t>
  </si>
  <si>
    <t>Truck Loading  16</t>
  </si>
  <si>
    <t>Truck Loading  17</t>
  </si>
  <si>
    <t>Truck Loading  18</t>
  </si>
  <si>
    <t>Truck Loading  19</t>
  </si>
  <si>
    <t>ROAD2</t>
  </si>
  <si>
    <t>ROAD1</t>
  </si>
  <si>
    <t>TWO LANE ROAD</t>
  </si>
  <si>
    <t>CURVE2</t>
  </si>
  <si>
    <t>CURVE1</t>
  </si>
  <si>
    <t>Arc (deg)</t>
  </si>
  <si>
    <t>Radius (m)</t>
  </si>
  <si>
    <t>ROAD CONNECTOR</t>
  </si>
  <si>
    <t>ROAD3</t>
  </si>
  <si>
    <t>ROAD4</t>
  </si>
  <si>
    <t>OFFICE4</t>
  </si>
  <si>
    <t>c8ccd3</t>
  </si>
  <si>
    <t>OFFICE5</t>
  </si>
  <si>
    <t>c8ccd4</t>
  </si>
  <si>
    <t>Ramp3</t>
  </si>
  <si>
    <t>Stair4</t>
  </si>
  <si>
    <t>Ramp5</t>
  </si>
  <si>
    <t>Stair5</t>
  </si>
  <si>
    <t>Car Parking 11</t>
  </si>
  <si>
    <t>Car Parking 12</t>
  </si>
  <si>
    <t>Car Parking 13</t>
  </si>
  <si>
    <t>Car Parking 14</t>
  </si>
  <si>
    <t>Car Parking 15</t>
  </si>
  <si>
    <t>Car Parking 16</t>
  </si>
  <si>
    <t>Car Parking 17</t>
  </si>
  <si>
    <t>Car Parking 18</t>
  </si>
  <si>
    <t>Car Parking 19</t>
  </si>
  <si>
    <t>Car Parking 20</t>
  </si>
  <si>
    <t>FL entrance1</t>
  </si>
  <si>
    <t>FL entrance2</t>
  </si>
  <si>
    <t>FL entrance3</t>
  </si>
  <si>
    <t>FL entrance4</t>
  </si>
  <si>
    <t>FL entrance5</t>
  </si>
  <si>
    <t>jack</t>
  </si>
  <si>
    <t>CONTAINER17</t>
  </si>
  <si>
    <t>CONTAINER18</t>
  </si>
  <si>
    <t>CONTAINER19</t>
  </si>
  <si>
    <t>CONTAINER20</t>
  </si>
  <si>
    <t>CONTAINER21</t>
  </si>
  <si>
    <t>CONTAINER22</t>
  </si>
  <si>
    <t>CONTAINER23</t>
  </si>
  <si>
    <t>CONTAINER24</t>
  </si>
  <si>
    <t>CONTAINER25</t>
  </si>
  <si>
    <t>CONTAINER26</t>
  </si>
  <si>
    <t>CONTAINER27</t>
  </si>
  <si>
    <t>CONTAINER28</t>
  </si>
  <si>
    <t>CAR1</t>
  </si>
  <si>
    <t>car</t>
  </si>
  <si>
    <t>CAR2</t>
  </si>
  <si>
    <t>CAR3</t>
  </si>
  <si>
    <t>CAR4</t>
  </si>
  <si>
    <t>CAR5</t>
  </si>
  <si>
    <t>CAR6</t>
  </si>
  <si>
    <t>CAR7</t>
  </si>
  <si>
    <t>CAR8</t>
  </si>
  <si>
    <t>CAR9</t>
  </si>
  <si>
    <t>CAR10</t>
  </si>
  <si>
    <t>CAR11</t>
  </si>
  <si>
    <t>CAR12</t>
  </si>
  <si>
    <t>CAR13</t>
  </si>
  <si>
    <t>CAR14</t>
  </si>
  <si>
    <t>CAR15</t>
  </si>
  <si>
    <t>FL3</t>
  </si>
  <si>
    <t>FL4</t>
  </si>
  <si>
    <t>FL5</t>
  </si>
  <si>
    <t>PALLET1</t>
  </si>
  <si>
    <t>PALLET2</t>
  </si>
  <si>
    <t>PALLET3</t>
  </si>
  <si>
    <t>pp</t>
  </si>
  <si>
    <t>FL6</t>
  </si>
  <si>
    <t>FL7</t>
  </si>
  <si>
    <t>FL8</t>
  </si>
  <si>
    <t>rt</t>
  </si>
  <si>
    <t>Worker1</t>
  </si>
  <si>
    <t>Worker2</t>
  </si>
  <si>
    <t>Worker3</t>
  </si>
  <si>
    <t>Worker4</t>
  </si>
  <si>
    <t>Worker5</t>
  </si>
  <si>
    <t>Worker6</t>
  </si>
  <si>
    <t>Worker7</t>
  </si>
  <si>
    <t>Worker8</t>
  </si>
  <si>
    <t>Worker9</t>
  </si>
  <si>
    <t>Worker10</t>
  </si>
  <si>
    <t>Worker11</t>
  </si>
  <si>
    <t>Worker12</t>
  </si>
  <si>
    <t>FL9</t>
  </si>
  <si>
    <t>Worker13</t>
  </si>
  <si>
    <t>Worker14</t>
  </si>
  <si>
    <t>Worker15</t>
  </si>
  <si>
    <t>PALLET4</t>
  </si>
  <si>
    <t>PALLET5</t>
  </si>
  <si>
    <t>PALLET6</t>
  </si>
  <si>
    <t>PALLET7</t>
  </si>
  <si>
    <t>PALLET8</t>
  </si>
  <si>
    <t>PALLET9</t>
  </si>
  <si>
    <t>PALLET10</t>
  </si>
  <si>
    <t>PALLET11</t>
  </si>
  <si>
    <t>PALLET12</t>
  </si>
  <si>
    <t>PALLET13</t>
  </si>
  <si>
    <t>PALLET14</t>
  </si>
  <si>
    <t>PALLET15</t>
  </si>
  <si>
    <t>PALLET16</t>
  </si>
  <si>
    <t>PALLET17</t>
  </si>
  <si>
    <t>Stair6</t>
  </si>
  <si>
    <t>Stair7</t>
  </si>
  <si>
    <t>Tilt (deg)</t>
  </si>
  <si>
    <t>Angle (deg)</t>
  </si>
  <si>
    <t>Move Z (m)</t>
  </si>
  <si>
    <t>Move X (m)</t>
  </si>
  <si>
    <t>Zoom (m)</t>
  </si>
  <si>
    <t>CAMERA (start view)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</si>
</sst>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2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2E3B4E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B8C0CC"/>
      </left>
      <right style="thin">
        <color rgb="FFB8C0CC"/>
      </right>
      <top style="thin">
        <color rgb="FFB8C0CC"/>
      </top>
      <bottom style="thin">
        <color rgb="FFB8C0CC"/>
      </bottom>
      <diagonal/>
    </border>
    <border>
      <left style="thin">
        <color rgb="FFB8C0CC"/>
      </left>
      <right style="thin">
        <color rgb="FFB8C0CC"/>
      </right>
      <top/>
      <bottom/>
      <diagonal/>
    </border>
    <border>
      <left style="thin">
        <color rgb="FFB8C0CC"/>
      </left>
      <right/>
      <top style="thin">
        <color rgb="FFB8C0CC"/>
      </top>
      <bottom style="thin">
        <color rgb="FFB8C0CC"/>
      </bottom>
      <diagonal/>
    </border>
    <border>
      <left style="thin">
        <color rgb="FFB8C0CC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5" borderId="0" xfId="0" applyFill="1"/>
    <xf numFmtId="0" fontId="2" fillId="3" borderId="3" xfId="0" applyFont="1" applyFill="1" applyBorder="1" applyAlignment="1">
      <alignment horizontal="center"/>
    </xf>
    <xf numFmtId="0" fontId="0" fillId="0" borderId="4" xfId="0" applyBorder="1"/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5" fillId="6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7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AA796-866B-422D-B3F1-2EC19091640D}">
  <dimension ref="A1:E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5" width="12" customWidth="1"/>
  </cols>
  <sheetData>
    <row r="1" spans="1:5" ht="19.95" customHeight="1" x14ac:dyDescent="0.3">
      <c r="A1" s="18" t="s">
        <v>515</v>
      </c>
      <c r="B1" s="16"/>
      <c r="C1" s="16"/>
      <c r="D1" s="16"/>
      <c r="E1" s="16"/>
    </row>
    <row r="2" spans="1:5" x14ac:dyDescent="0.3">
      <c r="A2" s="13" t="s">
        <v>514</v>
      </c>
      <c r="B2" s="13" t="s">
        <v>513</v>
      </c>
      <c r="C2" s="13" t="s">
        <v>512</v>
      </c>
      <c r="D2" s="13" t="s">
        <v>511</v>
      </c>
      <c r="E2" s="13" t="s">
        <v>510</v>
      </c>
    </row>
    <row r="3" spans="1:5" x14ac:dyDescent="0.3">
      <c r="A3">
        <v>230</v>
      </c>
      <c r="B3">
        <v>0</v>
      </c>
      <c r="C3">
        <v>0</v>
      </c>
      <c r="D3">
        <v>0</v>
      </c>
      <c r="E3">
        <v>38.700000000000003</v>
      </c>
    </row>
  </sheetData>
  <mergeCells count="1">
    <mergeCell ref="A1:E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pane ySplit="2" topLeftCell="A3" activePane="bottomLeft" state="frozen"/>
      <selection pane="bottomLeft" activeCell="D9" sqref="D9"/>
    </sheetView>
  </sheetViews>
  <sheetFormatPr defaultRowHeight="14.4" x14ac:dyDescent="0.3"/>
  <cols>
    <col min="1" max="1" width="12" customWidth="1"/>
    <col min="2" max="5" width="9" customWidth="1"/>
    <col min="6" max="6" width="12" customWidth="1"/>
  </cols>
  <sheetData>
    <row r="1" spans="1:6" ht="15.6" x14ac:dyDescent="0.3">
      <c r="A1" s="15" t="s">
        <v>7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8</v>
      </c>
      <c r="B3" s="3">
        <v>12</v>
      </c>
      <c r="C3" s="3">
        <v>90</v>
      </c>
      <c r="D3" s="3">
        <v>180</v>
      </c>
      <c r="E3" s="3">
        <v>100</v>
      </c>
      <c r="F3" s="2">
        <v>595959</v>
      </c>
    </row>
    <row r="4" spans="1:6" x14ac:dyDescent="0.3">
      <c r="A4" s="2" t="s">
        <v>9</v>
      </c>
      <c r="B4" s="3">
        <v>0</v>
      </c>
      <c r="C4" s="3">
        <v>0</v>
      </c>
      <c r="D4" s="3">
        <v>180</v>
      </c>
      <c r="E4" s="3">
        <v>6</v>
      </c>
      <c r="F4" s="2" t="s">
        <v>10</v>
      </c>
    </row>
    <row r="5" spans="1:6" x14ac:dyDescent="0.3">
      <c r="A5" s="2" t="s">
        <v>15</v>
      </c>
      <c r="B5" s="3">
        <v>150</v>
      </c>
      <c r="C5" s="3">
        <v>46</v>
      </c>
      <c r="D5" s="3">
        <v>180</v>
      </c>
      <c r="E5" s="3">
        <v>90</v>
      </c>
      <c r="F5" s="2" t="s">
        <v>10</v>
      </c>
    </row>
    <row r="6" spans="1:6" x14ac:dyDescent="0.3">
      <c r="A6" s="2" t="s">
        <v>11</v>
      </c>
      <c r="B6" s="3">
        <v>0</v>
      </c>
      <c r="C6" s="3">
        <v>41</v>
      </c>
      <c r="D6" s="3">
        <v>180</v>
      </c>
      <c r="E6" s="3">
        <v>46</v>
      </c>
      <c r="F6" s="2" t="s">
        <v>12</v>
      </c>
    </row>
    <row r="7" spans="1:6" x14ac:dyDescent="0.3">
      <c r="A7" s="2" t="s">
        <v>13</v>
      </c>
      <c r="B7" s="3">
        <v>35</v>
      </c>
      <c r="C7" s="3">
        <v>6</v>
      </c>
      <c r="D7" s="3">
        <v>40</v>
      </c>
      <c r="E7" s="3">
        <v>41</v>
      </c>
      <c r="F7" s="2" t="s">
        <v>12</v>
      </c>
    </row>
    <row r="8" spans="1:6" x14ac:dyDescent="0.3">
      <c r="A8" s="2" t="s">
        <v>14</v>
      </c>
      <c r="B8" s="3">
        <v>150</v>
      </c>
      <c r="C8" s="3">
        <v>6</v>
      </c>
      <c r="D8" s="3">
        <v>155</v>
      </c>
      <c r="E8" s="3">
        <v>41</v>
      </c>
      <c r="F8" s="2" t="s">
        <v>12</v>
      </c>
    </row>
    <row r="9" spans="1:6" x14ac:dyDescent="0.3">
      <c r="A9" s="7" t="s">
        <v>324</v>
      </c>
      <c r="B9" s="6">
        <v>1</v>
      </c>
      <c r="C9" s="6">
        <v>7</v>
      </c>
      <c r="D9" s="6">
        <v>15</v>
      </c>
      <c r="E9" s="6">
        <v>38</v>
      </c>
      <c r="F9" s="8" t="s">
        <v>325</v>
      </c>
    </row>
    <row r="10" spans="1:6" x14ac:dyDescent="0.3">
      <c r="A10" s="7" t="s">
        <v>323</v>
      </c>
      <c r="B10" s="6">
        <v>41</v>
      </c>
      <c r="C10" s="6">
        <v>25</v>
      </c>
      <c r="D10" s="6">
        <v>47</v>
      </c>
      <c r="E10" s="6">
        <v>40</v>
      </c>
      <c r="F10" s="8" t="s">
        <v>297</v>
      </c>
    </row>
    <row r="11" spans="1:6" x14ac:dyDescent="0.3">
      <c r="A11" s="7" t="s">
        <v>326</v>
      </c>
      <c r="B11" s="6">
        <v>89</v>
      </c>
      <c r="C11" s="6">
        <v>7</v>
      </c>
      <c r="D11" s="6">
        <v>130</v>
      </c>
      <c r="E11" s="6">
        <v>38</v>
      </c>
      <c r="F11" s="8" t="s">
        <v>325</v>
      </c>
    </row>
    <row r="12" spans="1:6" x14ac:dyDescent="0.3">
      <c r="A12" s="7" t="s">
        <v>327</v>
      </c>
      <c r="B12" s="6">
        <v>173</v>
      </c>
      <c r="C12" s="6">
        <v>25</v>
      </c>
      <c r="D12" s="6">
        <v>179</v>
      </c>
      <c r="E12" s="6">
        <v>40</v>
      </c>
      <c r="F12" s="8" t="s">
        <v>297</v>
      </c>
    </row>
    <row r="13" spans="1:6" x14ac:dyDescent="0.3">
      <c r="B13" s="6"/>
      <c r="C13" s="6"/>
      <c r="D13" s="6"/>
      <c r="E13" s="6"/>
    </row>
    <row r="14" spans="1:6" x14ac:dyDescent="0.3">
      <c r="B14" s="6"/>
    </row>
  </sheetData>
  <mergeCells count="1">
    <mergeCell ref="A1:F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pane ySplit="2" topLeftCell="A3" activePane="bottomLeft" state="frozen"/>
      <selection pane="bottomLeft" activeCell="D6" sqref="D6"/>
    </sheetView>
  </sheetViews>
  <sheetFormatPr defaultRowHeight="14.4" x14ac:dyDescent="0.3"/>
  <cols>
    <col min="1" max="1" width="10" customWidth="1"/>
    <col min="2" max="5" width="9" customWidth="1"/>
    <col min="6" max="6" width="14" customWidth="1"/>
    <col min="7" max="8" width="12" customWidth="1"/>
  </cols>
  <sheetData>
    <row r="1" spans="1:8" ht="15.6" x14ac:dyDescent="0.3">
      <c r="A1" s="15" t="s">
        <v>22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23</v>
      </c>
      <c r="G2" s="1" t="s">
        <v>24</v>
      </c>
      <c r="H2" s="1" t="s">
        <v>6</v>
      </c>
    </row>
    <row r="3" spans="1:8" x14ac:dyDescent="0.3">
      <c r="A3" s="2" t="s">
        <v>25</v>
      </c>
      <c r="B3" s="3">
        <v>0</v>
      </c>
      <c r="C3" s="3">
        <v>0</v>
      </c>
      <c r="D3" s="3">
        <v>0</v>
      </c>
      <c r="E3" s="3">
        <v>50</v>
      </c>
      <c r="F3" s="3">
        <v>10</v>
      </c>
      <c r="G3" s="2" t="s">
        <v>26</v>
      </c>
      <c r="H3" s="2" t="s">
        <v>27</v>
      </c>
    </row>
    <row r="4" spans="1:8" x14ac:dyDescent="0.3">
      <c r="A4" s="2" t="s">
        <v>28</v>
      </c>
      <c r="B4" s="3">
        <v>0</v>
      </c>
      <c r="C4" s="3">
        <v>50</v>
      </c>
      <c r="D4" s="3">
        <v>12</v>
      </c>
      <c r="E4" s="3">
        <v>50</v>
      </c>
      <c r="F4" s="3">
        <v>10</v>
      </c>
      <c r="G4" s="2" t="s">
        <v>26</v>
      </c>
      <c r="H4" s="2" t="s">
        <v>27</v>
      </c>
    </row>
    <row r="5" spans="1:8" x14ac:dyDescent="0.3">
      <c r="A5" s="2" t="s">
        <v>29</v>
      </c>
      <c r="B5" s="3">
        <v>12</v>
      </c>
      <c r="C5" s="3">
        <v>50</v>
      </c>
      <c r="D5" s="3">
        <v>12</v>
      </c>
      <c r="E5" s="3">
        <v>100</v>
      </c>
      <c r="F5" s="3">
        <v>10</v>
      </c>
      <c r="G5" s="2" t="s">
        <v>26</v>
      </c>
      <c r="H5" s="2" t="s">
        <v>27</v>
      </c>
    </row>
    <row r="6" spans="1:8" x14ac:dyDescent="0.3">
      <c r="A6" s="2" t="s">
        <v>30</v>
      </c>
      <c r="B6" s="3">
        <v>0</v>
      </c>
      <c r="C6" s="3">
        <v>0</v>
      </c>
      <c r="D6" s="3">
        <v>180</v>
      </c>
      <c r="E6" s="3">
        <v>0</v>
      </c>
      <c r="F6" s="3">
        <v>10</v>
      </c>
      <c r="G6" s="2" t="s">
        <v>26</v>
      </c>
      <c r="H6" s="2" t="s">
        <v>27</v>
      </c>
    </row>
    <row r="7" spans="1:8" x14ac:dyDescent="0.3">
      <c r="A7" s="2" t="s">
        <v>31</v>
      </c>
      <c r="B7" s="3">
        <v>180</v>
      </c>
      <c r="C7" s="3">
        <v>0</v>
      </c>
      <c r="D7" s="3">
        <v>180</v>
      </c>
      <c r="E7" s="3">
        <v>100</v>
      </c>
      <c r="F7" s="3">
        <v>10</v>
      </c>
      <c r="G7" s="2" t="s">
        <v>26</v>
      </c>
      <c r="H7" s="2" t="s">
        <v>27</v>
      </c>
    </row>
    <row r="8" spans="1:8" x14ac:dyDescent="0.3">
      <c r="A8" s="2" t="s">
        <v>32</v>
      </c>
      <c r="B8" s="3">
        <v>12</v>
      </c>
      <c r="C8" s="3">
        <v>100</v>
      </c>
      <c r="D8" s="3">
        <v>180</v>
      </c>
      <c r="E8" s="3">
        <v>100</v>
      </c>
      <c r="F8" s="3">
        <v>10</v>
      </c>
      <c r="G8" s="2" t="s">
        <v>26</v>
      </c>
      <c r="H8" s="2" t="s">
        <v>27</v>
      </c>
    </row>
  </sheetData>
  <mergeCells count="1">
    <mergeCell ref="A1:H1"/>
  </mergeCells>
  <dataValidations count="1">
    <dataValidation type="list" allowBlank="1" sqref="G3:G500" xr:uid="{00000000-0002-0000-0300-000000000000}">
      <formula1>"opaque,transparent"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4"/>
  <sheetViews>
    <sheetView workbookViewId="0">
      <pane ySplit="2" topLeftCell="A15" activePane="bottomLeft" state="frozen"/>
      <selection sqref="A1:G1"/>
      <selection pane="bottomLeft" activeCell="B24" sqref="B24:B44"/>
    </sheetView>
  </sheetViews>
  <sheetFormatPr defaultRowHeight="14.4" x14ac:dyDescent="0.3"/>
  <cols>
    <col min="1" max="1" width="10" customWidth="1"/>
    <col min="2" max="4" width="8" customWidth="1"/>
    <col min="5" max="5" width="12" customWidth="1"/>
    <col min="6" max="6" width="15" customWidth="1"/>
    <col min="7" max="7" width="12" customWidth="1"/>
    <col min="8" max="8" width="18" customWidth="1"/>
  </cols>
  <sheetData>
    <row r="1" spans="1:10" ht="15.6" x14ac:dyDescent="0.3">
      <c r="A1" s="15" t="s">
        <v>166</v>
      </c>
      <c r="B1" s="16"/>
      <c r="C1" s="16"/>
      <c r="D1" s="16"/>
      <c r="E1" s="16"/>
      <c r="F1" s="16"/>
      <c r="G1" s="16"/>
      <c r="H1" s="16"/>
    </row>
    <row r="2" spans="1:10" x14ac:dyDescent="0.3">
      <c r="A2" s="1" t="s">
        <v>1</v>
      </c>
      <c r="B2" s="1" t="s">
        <v>17</v>
      </c>
      <c r="C2" s="1" t="s">
        <v>18</v>
      </c>
      <c r="D2" s="1" t="s">
        <v>167</v>
      </c>
      <c r="E2" s="1" t="s">
        <v>20</v>
      </c>
      <c r="F2" s="1" t="s">
        <v>168</v>
      </c>
      <c r="G2" s="1" t="s">
        <v>6</v>
      </c>
      <c r="H2" s="1" t="s">
        <v>95</v>
      </c>
    </row>
    <row r="3" spans="1:10" x14ac:dyDescent="0.3">
      <c r="A3" s="2" t="s">
        <v>169</v>
      </c>
      <c r="B3" s="3">
        <v>1</v>
      </c>
      <c r="C3" s="3">
        <v>7</v>
      </c>
      <c r="D3" s="3">
        <v>12</v>
      </c>
      <c r="E3" s="2">
        <v>180</v>
      </c>
      <c r="F3" s="3">
        <v>1.6</v>
      </c>
      <c r="G3" s="2" t="s">
        <v>170</v>
      </c>
      <c r="H3" s="2" t="s">
        <v>171</v>
      </c>
      <c r="J3" s="3"/>
    </row>
    <row r="4" spans="1:10" x14ac:dyDescent="0.3">
      <c r="A4" s="2" t="s">
        <v>172</v>
      </c>
      <c r="B4" s="3">
        <v>1</v>
      </c>
      <c r="C4" s="3">
        <v>8.5</v>
      </c>
      <c r="D4" s="3">
        <v>12</v>
      </c>
      <c r="E4" s="2">
        <v>180</v>
      </c>
      <c r="F4" s="3">
        <v>1.6</v>
      </c>
      <c r="G4" s="2" t="s">
        <v>170</v>
      </c>
      <c r="H4" s="2" t="s">
        <v>171</v>
      </c>
      <c r="J4" s="3"/>
    </row>
    <row r="5" spans="1:10" x14ac:dyDescent="0.3">
      <c r="A5" s="2" t="s">
        <v>173</v>
      </c>
      <c r="B5" s="3">
        <v>1</v>
      </c>
      <c r="C5" s="3">
        <v>10</v>
      </c>
      <c r="D5" s="3">
        <v>12</v>
      </c>
      <c r="E5" s="2">
        <v>180</v>
      </c>
      <c r="F5" s="3">
        <v>1.6</v>
      </c>
      <c r="G5" s="2" t="s">
        <v>170</v>
      </c>
      <c r="H5" s="2" t="s">
        <v>171</v>
      </c>
      <c r="J5" s="3"/>
    </row>
    <row r="6" spans="1:10" x14ac:dyDescent="0.3">
      <c r="A6" s="2" t="s">
        <v>174</v>
      </c>
      <c r="B6" s="3">
        <v>1</v>
      </c>
      <c r="C6" s="3">
        <v>11.5</v>
      </c>
      <c r="D6" s="3">
        <v>12</v>
      </c>
      <c r="E6" s="2">
        <v>180</v>
      </c>
      <c r="F6" s="3">
        <v>1.6</v>
      </c>
      <c r="G6" s="2" t="s">
        <v>170</v>
      </c>
      <c r="H6" s="2" t="s">
        <v>171</v>
      </c>
      <c r="J6" s="3"/>
    </row>
    <row r="7" spans="1:10" x14ac:dyDescent="0.3">
      <c r="A7" s="2" t="s">
        <v>175</v>
      </c>
      <c r="B7" s="3">
        <v>1</v>
      </c>
      <c r="C7" s="3">
        <v>13</v>
      </c>
      <c r="D7" s="3">
        <v>12</v>
      </c>
      <c r="E7" s="2">
        <v>180</v>
      </c>
      <c r="F7" s="3">
        <v>1.6</v>
      </c>
      <c r="G7" s="2" t="s">
        <v>170</v>
      </c>
      <c r="H7" s="2" t="s">
        <v>171</v>
      </c>
      <c r="J7" s="3"/>
    </row>
    <row r="8" spans="1:10" x14ac:dyDescent="0.3">
      <c r="A8" s="2" t="s">
        <v>176</v>
      </c>
      <c r="B8" s="3">
        <v>1</v>
      </c>
      <c r="C8" s="3">
        <v>14.5</v>
      </c>
      <c r="D8" s="3">
        <v>12</v>
      </c>
      <c r="E8" s="2">
        <v>180</v>
      </c>
      <c r="F8" s="3">
        <v>1.6</v>
      </c>
      <c r="G8" s="2" t="s">
        <v>170</v>
      </c>
      <c r="H8" s="2" t="s">
        <v>171</v>
      </c>
      <c r="J8" s="3"/>
    </row>
    <row r="9" spans="1:10" x14ac:dyDescent="0.3">
      <c r="A9" s="2" t="s">
        <v>177</v>
      </c>
      <c r="B9" s="3">
        <v>1</v>
      </c>
      <c r="C9" s="3">
        <v>16</v>
      </c>
      <c r="D9" s="3">
        <v>12</v>
      </c>
      <c r="E9" s="2">
        <v>180</v>
      </c>
      <c r="F9" s="3">
        <v>1.6</v>
      </c>
      <c r="G9" s="2" t="s">
        <v>170</v>
      </c>
      <c r="H9" s="2" t="s">
        <v>171</v>
      </c>
      <c r="J9" s="3"/>
    </row>
    <row r="10" spans="1:10" x14ac:dyDescent="0.3">
      <c r="A10" s="2" t="s">
        <v>178</v>
      </c>
      <c r="B10" s="3">
        <v>1</v>
      </c>
      <c r="C10" s="3">
        <v>17.5</v>
      </c>
      <c r="D10" s="3">
        <v>12</v>
      </c>
      <c r="E10" s="2">
        <v>180</v>
      </c>
      <c r="F10" s="3">
        <v>1.6</v>
      </c>
      <c r="G10" s="2" t="s">
        <v>170</v>
      </c>
      <c r="H10" s="2" t="s">
        <v>171</v>
      </c>
      <c r="J10" s="3"/>
    </row>
    <row r="11" spans="1:10" x14ac:dyDescent="0.3">
      <c r="A11" s="2" t="s">
        <v>179</v>
      </c>
      <c r="B11" s="3">
        <v>1</v>
      </c>
      <c r="C11" s="3">
        <v>19</v>
      </c>
      <c r="D11" s="3">
        <v>12</v>
      </c>
      <c r="E11" s="2">
        <v>180</v>
      </c>
      <c r="F11" s="3">
        <v>1.6</v>
      </c>
      <c r="G11" s="2" t="s">
        <v>170</v>
      </c>
      <c r="H11" s="2" t="s">
        <v>171</v>
      </c>
      <c r="J11" s="3"/>
    </row>
    <row r="12" spans="1:10" x14ac:dyDescent="0.3">
      <c r="A12" s="2" t="s">
        <v>180</v>
      </c>
      <c r="B12" s="3">
        <v>1</v>
      </c>
      <c r="C12" s="3">
        <v>20.5</v>
      </c>
      <c r="D12" s="3">
        <v>12</v>
      </c>
      <c r="E12" s="2">
        <v>180</v>
      </c>
      <c r="F12" s="3">
        <v>1.6</v>
      </c>
      <c r="G12" s="2" t="s">
        <v>170</v>
      </c>
      <c r="H12" s="2" t="s">
        <v>171</v>
      </c>
      <c r="J12" s="3"/>
    </row>
    <row r="13" spans="1:10" x14ac:dyDescent="0.3">
      <c r="A13" s="2" t="s">
        <v>181</v>
      </c>
      <c r="B13" s="3">
        <v>1</v>
      </c>
      <c r="C13" s="3">
        <v>22</v>
      </c>
      <c r="D13" s="3">
        <v>12</v>
      </c>
      <c r="E13" s="2">
        <v>180</v>
      </c>
      <c r="F13" s="3">
        <v>1.6</v>
      </c>
      <c r="G13" s="2" t="s">
        <v>170</v>
      </c>
      <c r="H13" s="2" t="s">
        <v>171</v>
      </c>
      <c r="J13" s="3"/>
    </row>
    <row r="14" spans="1:10" x14ac:dyDescent="0.3">
      <c r="A14" s="2" t="s">
        <v>182</v>
      </c>
      <c r="B14" s="3">
        <v>1</v>
      </c>
      <c r="C14" s="3">
        <v>23.5</v>
      </c>
      <c r="D14" s="3">
        <v>12</v>
      </c>
      <c r="E14" s="2">
        <v>180</v>
      </c>
      <c r="F14" s="3">
        <v>1.6</v>
      </c>
      <c r="G14" s="2" t="s">
        <v>170</v>
      </c>
      <c r="H14" s="2" t="s">
        <v>171</v>
      </c>
      <c r="J14" s="3"/>
    </row>
    <row r="15" spans="1:10" x14ac:dyDescent="0.3">
      <c r="A15" s="2" t="s">
        <v>183</v>
      </c>
      <c r="B15" s="3">
        <v>1</v>
      </c>
      <c r="C15" s="3">
        <v>25</v>
      </c>
      <c r="D15" s="3">
        <v>12</v>
      </c>
      <c r="E15" s="2">
        <v>180</v>
      </c>
      <c r="F15" s="3">
        <v>1.6</v>
      </c>
      <c r="G15" s="2" t="s">
        <v>170</v>
      </c>
      <c r="H15" s="2" t="s">
        <v>171</v>
      </c>
      <c r="J15" s="3"/>
    </row>
    <row r="16" spans="1:10" x14ac:dyDescent="0.3">
      <c r="A16" s="2" t="s">
        <v>184</v>
      </c>
      <c r="B16" s="3">
        <v>1</v>
      </c>
      <c r="C16" s="3">
        <v>26.5</v>
      </c>
      <c r="D16" s="3">
        <v>12</v>
      </c>
      <c r="E16" s="2">
        <v>180</v>
      </c>
      <c r="F16" s="3">
        <v>1.6</v>
      </c>
      <c r="G16" s="2" t="s">
        <v>170</v>
      </c>
      <c r="H16" s="2" t="s">
        <v>171</v>
      </c>
      <c r="J16" s="3"/>
    </row>
    <row r="17" spans="1:10" x14ac:dyDescent="0.3">
      <c r="A17" s="2" t="s">
        <v>185</v>
      </c>
      <c r="B17" s="3">
        <v>1</v>
      </c>
      <c r="C17" s="3">
        <v>28</v>
      </c>
      <c r="D17" s="3">
        <v>12</v>
      </c>
      <c r="E17" s="2">
        <v>180</v>
      </c>
      <c r="F17" s="3">
        <v>1.6</v>
      </c>
      <c r="G17" s="2" t="s">
        <v>170</v>
      </c>
      <c r="H17" s="2" t="s">
        <v>171</v>
      </c>
      <c r="J17" s="3"/>
    </row>
    <row r="18" spans="1:10" x14ac:dyDescent="0.3">
      <c r="A18" s="2" t="s">
        <v>186</v>
      </c>
      <c r="B18" s="3">
        <v>1</v>
      </c>
      <c r="C18" s="3">
        <v>29.5</v>
      </c>
      <c r="D18" s="3">
        <v>12</v>
      </c>
      <c r="E18" s="2">
        <v>180</v>
      </c>
      <c r="F18" s="3">
        <v>1.6</v>
      </c>
      <c r="G18" s="2" t="s">
        <v>170</v>
      </c>
      <c r="H18" s="2" t="s">
        <v>171</v>
      </c>
      <c r="J18" s="3"/>
    </row>
    <row r="19" spans="1:10" x14ac:dyDescent="0.3">
      <c r="A19" s="2" t="s">
        <v>187</v>
      </c>
      <c r="B19" s="3">
        <v>1</v>
      </c>
      <c r="C19" s="3">
        <v>31</v>
      </c>
      <c r="D19" s="3">
        <v>12</v>
      </c>
      <c r="E19" s="2">
        <v>180</v>
      </c>
      <c r="F19" s="3">
        <v>1.6</v>
      </c>
      <c r="G19" s="2" t="s">
        <v>170</v>
      </c>
      <c r="H19" s="2" t="s">
        <v>171</v>
      </c>
      <c r="J19" s="3"/>
    </row>
    <row r="20" spans="1:10" x14ac:dyDescent="0.3">
      <c r="A20" s="2" t="s">
        <v>188</v>
      </c>
      <c r="B20" s="3">
        <v>1</v>
      </c>
      <c r="C20" s="3">
        <v>32.5</v>
      </c>
      <c r="D20" s="3">
        <v>12</v>
      </c>
      <c r="E20" s="2">
        <v>180</v>
      </c>
      <c r="F20" s="3">
        <v>1.6</v>
      </c>
      <c r="G20" s="2" t="s">
        <v>170</v>
      </c>
      <c r="H20" s="2" t="s">
        <v>171</v>
      </c>
      <c r="J20" s="3"/>
    </row>
    <row r="21" spans="1:10" x14ac:dyDescent="0.3">
      <c r="A21" s="2" t="s">
        <v>189</v>
      </c>
      <c r="B21" s="3">
        <v>1</v>
      </c>
      <c r="C21" s="3">
        <v>34</v>
      </c>
      <c r="D21" s="3">
        <v>12</v>
      </c>
      <c r="E21" s="2">
        <v>180</v>
      </c>
      <c r="F21" s="3">
        <v>1.6</v>
      </c>
      <c r="G21" s="2" t="s">
        <v>170</v>
      </c>
      <c r="H21" s="2" t="s">
        <v>171</v>
      </c>
      <c r="J21" s="3"/>
    </row>
    <row r="22" spans="1:10" x14ac:dyDescent="0.3">
      <c r="A22" s="2" t="s">
        <v>190</v>
      </c>
      <c r="B22" s="3">
        <v>1</v>
      </c>
      <c r="C22" s="3">
        <v>35.5</v>
      </c>
      <c r="D22" s="3">
        <v>12</v>
      </c>
      <c r="E22" s="2">
        <v>180</v>
      </c>
      <c r="F22" s="3">
        <v>1.6</v>
      </c>
      <c r="G22" s="2" t="s">
        <v>170</v>
      </c>
      <c r="H22" s="2" t="s">
        <v>171</v>
      </c>
      <c r="J22" s="3"/>
    </row>
    <row r="23" spans="1:10" x14ac:dyDescent="0.3">
      <c r="A23" s="2" t="s">
        <v>191</v>
      </c>
      <c r="B23" s="3">
        <v>1</v>
      </c>
      <c r="C23" s="3">
        <v>37</v>
      </c>
      <c r="D23" s="3">
        <v>12</v>
      </c>
      <c r="E23" s="2">
        <v>180</v>
      </c>
      <c r="F23" s="3">
        <v>1.6</v>
      </c>
      <c r="G23" s="2" t="s">
        <v>170</v>
      </c>
      <c r="H23" s="2" t="s">
        <v>171</v>
      </c>
      <c r="J23" s="3"/>
    </row>
    <row r="24" spans="1:10" x14ac:dyDescent="0.3">
      <c r="A24" s="2" t="s">
        <v>192</v>
      </c>
      <c r="B24" s="3">
        <v>89</v>
      </c>
      <c r="C24" s="3">
        <v>7</v>
      </c>
      <c r="D24" s="3">
        <v>34</v>
      </c>
      <c r="E24" s="2">
        <v>180</v>
      </c>
      <c r="F24" s="3">
        <v>1.6</v>
      </c>
      <c r="G24" s="2" t="s">
        <v>170</v>
      </c>
      <c r="H24" s="2" t="s">
        <v>171</v>
      </c>
      <c r="J24" s="3"/>
    </row>
    <row r="25" spans="1:10" x14ac:dyDescent="0.3">
      <c r="A25" s="2" t="s">
        <v>193</v>
      </c>
      <c r="B25" s="3">
        <v>89</v>
      </c>
      <c r="C25" s="3">
        <v>8.5</v>
      </c>
      <c r="D25" s="3">
        <v>34</v>
      </c>
      <c r="E25" s="2">
        <v>180</v>
      </c>
      <c r="F25" s="3">
        <v>1.6</v>
      </c>
      <c r="G25" s="2" t="s">
        <v>170</v>
      </c>
      <c r="H25" s="2" t="s">
        <v>171</v>
      </c>
      <c r="J25" s="3"/>
    </row>
    <row r="26" spans="1:10" x14ac:dyDescent="0.3">
      <c r="A26" s="2" t="s">
        <v>194</v>
      </c>
      <c r="B26" s="3">
        <v>89</v>
      </c>
      <c r="C26" s="3">
        <v>10</v>
      </c>
      <c r="D26" s="3">
        <v>34</v>
      </c>
      <c r="E26" s="2">
        <v>180</v>
      </c>
      <c r="F26" s="3">
        <v>1.6</v>
      </c>
      <c r="G26" s="2" t="s">
        <v>170</v>
      </c>
      <c r="H26" s="2" t="s">
        <v>171</v>
      </c>
      <c r="J26" s="3"/>
    </row>
    <row r="27" spans="1:10" x14ac:dyDescent="0.3">
      <c r="A27" s="2" t="s">
        <v>195</v>
      </c>
      <c r="B27" s="3">
        <v>89</v>
      </c>
      <c r="C27" s="3">
        <v>11.5</v>
      </c>
      <c r="D27" s="3">
        <v>34</v>
      </c>
      <c r="E27" s="2">
        <v>180</v>
      </c>
      <c r="F27" s="3">
        <v>1.6</v>
      </c>
      <c r="G27" s="2" t="s">
        <v>170</v>
      </c>
      <c r="H27" s="2" t="s">
        <v>171</v>
      </c>
      <c r="J27" s="3"/>
    </row>
    <row r="28" spans="1:10" x14ac:dyDescent="0.3">
      <c r="A28" s="2" t="s">
        <v>196</v>
      </c>
      <c r="B28" s="3">
        <v>89</v>
      </c>
      <c r="C28" s="3">
        <v>13</v>
      </c>
      <c r="D28" s="3">
        <v>34</v>
      </c>
      <c r="E28" s="2">
        <v>180</v>
      </c>
      <c r="F28" s="3">
        <v>1.6</v>
      </c>
      <c r="G28" s="2" t="s">
        <v>170</v>
      </c>
      <c r="H28" s="2" t="s">
        <v>171</v>
      </c>
      <c r="J28" s="3"/>
    </row>
    <row r="29" spans="1:10" x14ac:dyDescent="0.3">
      <c r="A29" s="2" t="s">
        <v>197</v>
      </c>
      <c r="B29" s="3">
        <v>89</v>
      </c>
      <c r="C29" s="3">
        <v>14.5</v>
      </c>
      <c r="D29" s="3">
        <v>34</v>
      </c>
      <c r="E29" s="2">
        <v>180</v>
      </c>
      <c r="F29" s="3">
        <v>1.6</v>
      </c>
      <c r="G29" s="2" t="s">
        <v>170</v>
      </c>
      <c r="H29" s="2" t="s">
        <v>171</v>
      </c>
      <c r="J29" s="3"/>
    </row>
    <row r="30" spans="1:10" x14ac:dyDescent="0.3">
      <c r="A30" s="2" t="s">
        <v>198</v>
      </c>
      <c r="B30" s="3">
        <v>89</v>
      </c>
      <c r="C30" s="3">
        <v>16</v>
      </c>
      <c r="D30" s="3">
        <v>34</v>
      </c>
      <c r="E30" s="2">
        <v>180</v>
      </c>
      <c r="F30" s="3">
        <v>1.6</v>
      </c>
      <c r="G30" s="2" t="s">
        <v>170</v>
      </c>
      <c r="H30" s="2" t="s">
        <v>171</v>
      </c>
      <c r="J30" s="3"/>
    </row>
    <row r="31" spans="1:10" x14ac:dyDescent="0.3">
      <c r="A31" s="2" t="s">
        <v>199</v>
      </c>
      <c r="B31" s="3">
        <v>89</v>
      </c>
      <c r="C31" s="3">
        <v>17.5</v>
      </c>
      <c r="D31" s="3">
        <v>34</v>
      </c>
      <c r="E31" s="2">
        <v>180</v>
      </c>
      <c r="F31" s="3">
        <v>1.6</v>
      </c>
      <c r="G31" s="2" t="s">
        <v>170</v>
      </c>
      <c r="H31" s="2" t="s">
        <v>171</v>
      </c>
      <c r="J31" s="3"/>
    </row>
    <row r="32" spans="1:10" x14ac:dyDescent="0.3">
      <c r="A32" s="2" t="s">
        <v>200</v>
      </c>
      <c r="B32" s="3">
        <v>89</v>
      </c>
      <c r="C32" s="3">
        <v>19</v>
      </c>
      <c r="D32" s="3">
        <v>34</v>
      </c>
      <c r="E32" s="2">
        <v>180</v>
      </c>
      <c r="F32" s="3">
        <v>1.6</v>
      </c>
      <c r="G32" s="2" t="s">
        <v>170</v>
      </c>
      <c r="H32" s="2" t="s">
        <v>171</v>
      </c>
      <c r="J32" s="3"/>
    </row>
    <row r="33" spans="1:10" x14ac:dyDescent="0.3">
      <c r="A33" s="2" t="s">
        <v>201</v>
      </c>
      <c r="B33" s="3">
        <v>89</v>
      </c>
      <c r="C33" s="3">
        <v>20.5</v>
      </c>
      <c r="D33" s="3">
        <v>34</v>
      </c>
      <c r="E33" s="2">
        <v>180</v>
      </c>
      <c r="F33" s="3">
        <v>1.6</v>
      </c>
      <c r="G33" s="2" t="s">
        <v>170</v>
      </c>
      <c r="H33" s="2" t="s">
        <v>171</v>
      </c>
      <c r="J33" s="3"/>
    </row>
    <row r="34" spans="1:10" x14ac:dyDescent="0.3">
      <c r="A34" s="2" t="s">
        <v>202</v>
      </c>
      <c r="B34" s="3">
        <v>89</v>
      </c>
      <c r="C34" s="3">
        <v>22</v>
      </c>
      <c r="D34" s="3">
        <v>34</v>
      </c>
      <c r="E34" s="2">
        <v>180</v>
      </c>
      <c r="F34" s="3">
        <v>1.6</v>
      </c>
      <c r="G34" s="2" t="s">
        <v>170</v>
      </c>
      <c r="H34" s="2" t="s">
        <v>171</v>
      </c>
      <c r="J34" s="3"/>
    </row>
    <row r="35" spans="1:10" x14ac:dyDescent="0.3">
      <c r="A35" s="2" t="s">
        <v>203</v>
      </c>
      <c r="B35" s="3">
        <v>89</v>
      </c>
      <c r="C35" s="3">
        <v>23.5</v>
      </c>
      <c r="D35" s="3">
        <v>34</v>
      </c>
      <c r="E35" s="2">
        <v>180</v>
      </c>
      <c r="F35" s="3">
        <v>1.6</v>
      </c>
      <c r="G35" s="2" t="s">
        <v>170</v>
      </c>
      <c r="H35" s="2" t="s">
        <v>171</v>
      </c>
      <c r="J35" s="3"/>
    </row>
    <row r="36" spans="1:10" x14ac:dyDescent="0.3">
      <c r="A36" s="2" t="s">
        <v>204</v>
      </c>
      <c r="B36" s="3">
        <v>89</v>
      </c>
      <c r="C36" s="3">
        <v>25</v>
      </c>
      <c r="D36" s="3">
        <v>34</v>
      </c>
      <c r="E36" s="2">
        <v>180</v>
      </c>
      <c r="F36" s="3">
        <v>1.6</v>
      </c>
      <c r="G36" s="2" t="s">
        <v>170</v>
      </c>
      <c r="H36" s="2" t="s">
        <v>171</v>
      </c>
      <c r="J36" s="3"/>
    </row>
    <row r="37" spans="1:10" x14ac:dyDescent="0.3">
      <c r="A37" s="2" t="s">
        <v>205</v>
      </c>
      <c r="B37" s="3">
        <v>89</v>
      </c>
      <c r="C37" s="3">
        <v>26.5</v>
      </c>
      <c r="D37" s="3">
        <v>34</v>
      </c>
      <c r="E37" s="2">
        <v>180</v>
      </c>
      <c r="F37" s="3">
        <v>1.6</v>
      </c>
      <c r="G37" s="2" t="s">
        <v>170</v>
      </c>
      <c r="H37" s="2" t="s">
        <v>171</v>
      </c>
      <c r="J37" s="3"/>
    </row>
    <row r="38" spans="1:10" x14ac:dyDescent="0.3">
      <c r="A38" s="2" t="s">
        <v>206</v>
      </c>
      <c r="B38" s="3">
        <v>89</v>
      </c>
      <c r="C38" s="3">
        <v>28</v>
      </c>
      <c r="D38" s="3">
        <v>34</v>
      </c>
      <c r="E38" s="2">
        <v>180</v>
      </c>
      <c r="F38" s="3">
        <v>1.6</v>
      </c>
      <c r="G38" s="2" t="s">
        <v>170</v>
      </c>
      <c r="H38" s="2" t="s">
        <v>171</v>
      </c>
      <c r="J38" s="3"/>
    </row>
    <row r="39" spans="1:10" x14ac:dyDescent="0.3">
      <c r="A39" s="2" t="s">
        <v>207</v>
      </c>
      <c r="B39" s="3">
        <v>89</v>
      </c>
      <c r="C39" s="3">
        <v>29.5</v>
      </c>
      <c r="D39" s="3">
        <v>34</v>
      </c>
      <c r="E39" s="2">
        <v>180</v>
      </c>
      <c r="F39" s="3">
        <v>1.6</v>
      </c>
      <c r="G39" s="2" t="s">
        <v>170</v>
      </c>
      <c r="H39" s="2" t="s">
        <v>171</v>
      </c>
      <c r="J39" s="3"/>
    </row>
    <row r="40" spans="1:10" x14ac:dyDescent="0.3">
      <c r="A40" s="2" t="s">
        <v>208</v>
      </c>
      <c r="B40" s="3">
        <v>89</v>
      </c>
      <c r="C40" s="3">
        <v>31</v>
      </c>
      <c r="D40" s="3">
        <v>34</v>
      </c>
      <c r="E40" s="2">
        <v>180</v>
      </c>
      <c r="F40" s="3">
        <v>1.6</v>
      </c>
      <c r="G40" s="2" t="s">
        <v>170</v>
      </c>
      <c r="H40" s="2" t="s">
        <v>171</v>
      </c>
      <c r="J40" s="3"/>
    </row>
    <row r="41" spans="1:10" x14ac:dyDescent="0.3">
      <c r="A41" s="2" t="s">
        <v>209</v>
      </c>
      <c r="B41" s="3">
        <v>89</v>
      </c>
      <c r="C41" s="3">
        <v>32.5</v>
      </c>
      <c r="D41" s="3">
        <v>34</v>
      </c>
      <c r="E41" s="2">
        <v>180</v>
      </c>
      <c r="F41" s="3">
        <v>1.6</v>
      </c>
      <c r="G41" s="2" t="s">
        <v>170</v>
      </c>
      <c r="H41" s="2" t="s">
        <v>171</v>
      </c>
      <c r="J41" s="3"/>
    </row>
    <row r="42" spans="1:10" x14ac:dyDescent="0.3">
      <c r="A42" s="2" t="s">
        <v>210</v>
      </c>
      <c r="B42" s="3">
        <v>89</v>
      </c>
      <c r="C42" s="3">
        <v>34</v>
      </c>
      <c r="D42" s="3">
        <v>34</v>
      </c>
      <c r="E42" s="2">
        <v>180</v>
      </c>
      <c r="F42" s="3">
        <v>1.6</v>
      </c>
      <c r="G42" s="2" t="s">
        <v>170</v>
      </c>
      <c r="H42" s="2" t="s">
        <v>171</v>
      </c>
      <c r="J42" s="3"/>
    </row>
    <row r="43" spans="1:10" x14ac:dyDescent="0.3">
      <c r="A43" s="2" t="s">
        <v>211</v>
      </c>
      <c r="B43" s="3">
        <v>89</v>
      </c>
      <c r="C43" s="3">
        <v>35.5</v>
      </c>
      <c r="D43" s="3">
        <v>34</v>
      </c>
      <c r="E43" s="2">
        <v>180</v>
      </c>
      <c r="F43" s="3">
        <v>1.6</v>
      </c>
      <c r="G43" s="2" t="s">
        <v>170</v>
      </c>
      <c r="H43" s="2" t="s">
        <v>171</v>
      </c>
      <c r="J43" s="3"/>
    </row>
    <row r="44" spans="1:10" x14ac:dyDescent="0.3">
      <c r="A44" s="2" t="s">
        <v>212</v>
      </c>
      <c r="B44" s="3">
        <v>89</v>
      </c>
      <c r="C44" s="3">
        <v>37</v>
      </c>
      <c r="D44" s="3">
        <v>34</v>
      </c>
      <c r="E44" s="2">
        <v>180</v>
      </c>
      <c r="F44" s="3">
        <v>1.6</v>
      </c>
      <c r="G44" s="2" t="s">
        <v>170</v>
      </c>
      <c r="H44" s="2" t="s">
        <v>171</v>
      </c>
      <c r="J44" s="3"/>
    </row>
    <row r="45" spans="1:10" x14ac:dyDescent="0.3">
      <c r="A45" s="2" t="s">
        <v>213</v>
      </c>
      <c r="B45" s="3">
        <v>41</v>
      </c>
      <c r="C45" s="3">
        <v>25</v>
      </c>
      <c r="D45" s="3">
        <v>5</v>
      </c>
      <c r="E45" s="2">
        <v>180</v>
      </c>
      <c r="F45" s="3">
        <v>1.6</v>
      </c>
      <c r="G45" s="2" t="s">
        <v>170</v>
      </c>
      <c r="H45" s="2" t="s">
        <v>171</v>
      </c>
      <c r="J45" s="3"/>
    </row>
    <row r="46" spans="1:10" x14ac:dyDescent="0.3">
      <c r="A46" s="2" t="s">
        <v>214</v>
      </c>
      <c r="B46" s="3">
        <v>41</v>
      </c>
      <c r="C46" s="3">
        <v>26.5</v>
      </c>
      <c r="D46" s="3">
        <v>5</v>
      </c>
      <c r="E46" s="2">
        <v>180</v>
      </c>
      <c r="F46" s="3">
        <v>1.6</v>
      </c>
      <c r="G46" s="2" t="s">
        <v>170</v>
      </c>
      <c r="H46" s="2" t="s">
        <v>171</v>
      </c>
      <c r="J46" s="3"/>
    </row>
    <row r="47" spans="1:10" x14ac:dyDescent="0.3">
      <c r="A47" s="2" t="s">
        <v>215</v>
      </c>
      <c r="B47" s="3">
        <v>41</v>
      </c>
      <c r="C47" s="3">
        <v>28</v>
      </c>
      <c r="D47" s="3">
        <v>5</v>
      </c>
      <c r="E47" s="2">
        <v>180</v>
      </c>
      <c r="F47" s="3">
        <v>1.6</v>
      </c>
      <c r="G47" s="2" t="s">
        <v>170</v>
      </c>
      <c r="H47" s="2" t="s">
        <v>171</v>
      </c>
      <c r="J47" s="3"/>
    </row>
    <row r="48" spans="1:10" x14ac:dyDescent="0.3">
      <c r="A48" s="2" t="s">
        <v>216</v>
      </c>
      <c r="B48" s="3">
        <v>41</v>
      </c>
      <c r="C48" s="3">
        <v>29.5</v>
      </c>
      <c r="D48" s="3">
        <v>5</v>
      </c>
      <c r="E48" s="2">
        <v>180</v>
      </c>
      <c r="F48" s="3">
        <v>1.6</v>
      </c>
      <c r="G48" s="2" t="s">
        <v>170</v>
      </c>
      <c r="H48" s="2" t="s">
        <v>171</v>
      </c>
      <c r="J48" s="3"/>
    </row>
    <row r="49" spans="1:10" x14ac:dyDescent="0.3">
      <c r="A49" s="2" t="s">
        <v>217</v>
      </c>
      <c r="B49" s="3">
        <v>41</v>
      </c>
      <c r="C49" s="3">
        <v>31</v>
      </c>
      <c r="D49" s="3">
        <v>5</v>
      </c>
      <c r="E49" s="2">
        <v>180</v>
      </c>
      <c r="F49" s="3">
        <v>1.6</v>
      </c>
      <c r="G49" s="2" t="s">
        <v>170</v>
      </c>
      <c r="H49" s="2" t="s">
        <v>171</v>
      </c>
      <c r="J49" s="3"/>
    </row>
    <row r="50" spans="1:10" x14ac:dyDescent="0.3">
      <c r="A50" s="2" t="s">
        <v>218</v>
      </c>
      <c r="B50" s="3">
        <v>41</v>
      </c>
      <c r="C50" s="3">
        <v>32.5</v>
      </c>
      <c r="D50" s="3">
        <v>5</v>
      </c>
      <c r="E50" s="2">
        <v>180</v>
      </c>
      <c r="F50" s="3">
        <v>1.6</v>
      </c>
      <c r="G50" s="2" t="s">
        <v>170</v>
      </c>
      <c r="H50" s="2" t="s">
        <v>171</v>
      </c>
      <c r="J50" s="3"/>
    </row>
    <row r="51" spans="1:10" x14ac:dyDescent="0.3">
      <c r="A51" s="2" t="s">
        <v>219</v>
      </c>
      <c r="B51" s="3">
        <v>41</v>
      </c>
      <c r="C51" s="3">
        <v>34</v>
      </c>
      <c r="D51" s="3">
        <v>5</v>
      </c>
      <c r="E51" s="2">
        <v>180</v>
      </c>
      <c r="F51" s="3">
        <v>1.6</v>
      </c>
      <c r="G51" s="2" t="s">
        <v>170</v>
      </c>
      <c r="H51" s="2" t="s">
        <v>171</v>
      </c>
      <c r="J51" s="3"/>
    </row>
    <row r="52" spans="1:10" x14ac:dyDescent="0.3">
      <c r="A52" s="2" t="s">
        <v>220</v>
      </c>
      <c r="B52" s="3">
        <v>41</v>
      </c>
      <c r="C52" s="3">
        <v>35.5</v>
      </c>
      <c r="D52" s="3">
        <v>5</v>
      </c>
      <c r="E52" s="2">
        <v>180</v>
      </c>
      <c r="F52" s="3">
        <v>1.6</v>
      </c>
      <c r="G52" s="2" t="s">
        <v>170</v>
      </c>
      <c r="H52" s="2" t="s">
        <v>171</v>
      </c>
      <c r="J52" s="3"/>
    </row>
    <row r="53" spans="1:10" x14ac:dyDescent="0.3">
      <c r="A53" s="2" t="s">
        <v>221</v>
      </c>
      <c r="B53" s="3">
        <v>41</v>
      </c>
      <c r="C53" s="3">
        <v>37</v>
      </c>
      <c r="D53" s="3">
        <v>5</v>
      </c>
      <c r="E53" s="2">
        <v>180</v>
      </c>
      <c r="F53" s="3">
        <v>1.6</v>
      </c>
      <c r="G53" s="2" t="s">
        <v>170</v>
      </c>
      <c r="H53" s="2" t="s">
        <v>171</v>
      </c>
      <c r="J53" s="3"/>
    </row>
    <row r="54" spans="1:10" x14ac:dyDescent="0.3">
      <c r="A54" s="2" t="s">
        <v>222</v>
      </c>
      <c r="B54" s="3">
        <v>41</v>
      </c>
      <c r="C54" s="3">
        <v>38.5</v>
      </c>
      <c r="D54" s="3">
        <v>5</v>
      </c>
      <c r="E54" s="2">
        <v>180</v>
      </c>
      <c r="F54" s="3">
        <v>1.6</v>
      </c>
      <c r="G54" s="2" t="s">
        <v>170</v>
      </c>
      <c r="H54" s="2" t="s">
        <v>171</v>
      </c>
      <c r="J54" s="3"/>
    </row>
    <row r="55" spans="1:10" x14ac:dyDescent="0.3">
      <c r="A55" s="2" t="s">
        <v>223</v>
      </c>
      <c r="B55" s="3">
        <v>172</v>
      </c>
      <c r="C55" s="3">
        <v>25</v>
      </c>
      <c r="D55" s="3">
        <v>5</v>
      </c>
      <c r="E55" s="2">
        <v>0</v>
      </c>
      <c r="F55" s="3">
        <v>1.6</v>
      </c>
      <c r="G55" s="2" t="s">
        <v>170</v>
      </c>
      <c r="H55" s="2" t="s">
        <v>171</v>
      </c>
      <c r="J55" s="3"/>
    </row>
    <row r="56" spans="1:10" x14ac:dyDescent="0.3">
      <c r="A56" s="2" t="s">
        <v>224</v>
      </c>
      <c r="B56" s="3">
        <v>172</v>
      </c>
      <c r="C56" s="3">
        <v>26.5</v>
      </c>
      <c r="D56" s="3">
        <v>5</v>
      </c>
      <c r="E56" s="2">
        <v>0</v>
      </c>
      <c r="F56" s="3">
        <v>1.6</v>
      </c>
      <c r="G56" s="2" t="s">
        <v>170</v>
      </c>
      <c r="H56" s="2" t="s">
        <v>171</v>
      </c>
      <c r="J56" s="3"/>
    </row>
    <row r="57" spans="1:10" x14ac:dyDescent="0.3">
      <c r="A57" s="2" t="s">
        <v>225</v>
      </c>
      <c r="B57" s="3">
        <v>172</v>
      </c>
      <c r="C57" s="3">
        <v>28</v>
      </c>
      <c r="D57" s="3">
        <v>5</v>
      </c>
      <c r="E57" s="2">
        <v>0</v>
      </c>
      <c r="F57" s="3">
        <v>1.6</v>
      </c>
      <c r="G57" s="2" t="s">
        <v>170</v>
      </c>
      <c r="H57" s="2" t="s">
        <v>171</v>
      </c>
      <c r="J57" s="3"/>
    </row>
    <row r="58" spans="1:10" x14ac:dyDescent="0.3">
      <c r="A58" s="2" t="s">
        <v>226</v>
      </c>
      <c r="B58" s="3">
        <v>172</v>
      </c>
      <c r="C58" s="3">
        <v>29.5</v>
      </c>
      <c r="D58" s="3">
        <v>5</v>
      </c>
      <c r="E58" s="2">
        <v>0</v>
      </c>
      <c r="F58" s="3">
        <v>1.6</v>
      </c>
      <c r="G58" s="2" t="s">
        <v>170</v>
      </c>
      <c r="H58" s="2" t="s">
        <v>171</v>
      </c>
      <c r="J58" s="3"/>
    </row>
    <row r="59" spans="1:10" x14ac:dyDescent="0.3">
      <c r="A59" s="2" t="s">
        <v>227</v>
      </c>
      <c r="B59" s="3">
        <v>172</v>
      </c>
      <c r="C59" s="3">
        <v>31</v>
      </c>
      <c r="D59" s="3">
        <v>5</v>
      </c>
      <c r="E59" s="2">
        <v>0</v>
      </c>
      <c r="F59" s="3">
        <v>1.6</v>
      </c>
      <c r="G59" s="2" t="s">
        <v>170</v>
      </c>
      <c r="H59" s="2" t="s">
        <v>171</v>
      </c>
      <c r="J59" s="3"/>
    </row>
    <row r="60" spans="1:10" x14ac:dyDescent="0.3">
      <c r="A60" s="2" t="s">
        <v>228</v>
      </c>
      <c r="B60" s="3">
        <v>172</v>
      </c>
      <c r="C60" s="3">
        <v>32.5</v>
      </c>
      <c r="D60" s="3">
        <v>5</v>
      </c>
      <c r="E60" s="2">
        <v>0</v>
      </c>
      <c r="F60" s="3">
        <v>1.6</v>
      </c>
      <c r="G60" s="2" t="s">
        <v>170</v>
      </c>
      <c r="H60" s="2" t="s">
        <v>171</v>
      </c>
      <c r="J60" s="3"/>
    </row>
    <row r="61" spans="1:10" x14ac:dyDescent="0.3">
      <c r="A61" s="2" t="s">
        <v>229</v>
      </c>
      <c r="B61" s="3">
        <v>172</v>
      </c>
      <c r="C61" s="3">
        <v>34</v>
      </c>
      <c r="D61" s="3">
        <v>5</v>
      </c>
      <c r="E61" s="2">
        <v>0</v>
      </c>
      <c r="F61" s="3">
        <v>1.6</v>
      </c>
      <c r="G61" s="2" t="s">
        <v>170</v>
      </c>
      <c r="H61" s="2" t="s">
        <v>171</v>
      </c>
      <c r="J61" s="3"/>
    </row>
    <row r="62" spans="1:10" x14ac:dyDescent="0.3">
      <c r="A62" s="2" t="s">
        <v>230</v>
      </c>
      <c r="B62" s="3">
        <v>172</v>
      </c>
      <c r="C62" s="3">
        <v>35.5</v>
      </c>
      <c r="D62" s="3">
        <v>5</v>
      </c>
      <c r="E62" s="2">
        <v>0</v>
      </c>
      <c r="F62" s="3">
        <v>1.6</v>
      </c>
      <c r="G62" s="2" t="s">
        <v>170</v>
      </c>
      <c r="H62" s="2" t="s">
        <v>171</v>
      </c>
      <c r="J62" s="3"/>
    </row>
    <row r="63" spans="1:10" x14ac:dyDescent="0.3">
      <c r="A63" s="2" t="s">
        <v>231</v>
      </c>
      <c r="B63" s="3">
        <v>172</v>
      </c>
      <c r="C63" s="3">
        <v>37</v>
      </c>
      <c r="D63" s="3">
        <v>5</v>
      </c>
      <c r="E63" s="2">
        <v>0</v>
      </c>
      <c r="F63" s="3">
        <v>1.6</v>
      </c>
      <c r="G63" s="2" t="s">
        <v>170</v>
      </c>
      <c r="H63" s="2" t="s">
        <v>171</v>
      </c>
      <c r="J63" s="3"/>
    </row>
    <row r="64" spans="1:10" x14ac:dyDescent="0.3">
      <c r="A64" s="2" t="s">
        <v>232</v>
      </c>
      <c r="B64" s="3">
        <v>172</v>
      </c>
      <c r="C64" s="3">
        <v>38.5</v>
      </c>
      <c r="D64" s="3">
        <v>5</v>
      </c>
      <c r="E64" s="2">
        <v>0</v>
      </c>
      <c r="F64" s="3">
        <v>1.6</v>
      </c>
      <c r="G64" s="2" t="s">
        <v>170</v>
      </c>
      <c r="H64" s="2" t="s">
        <v>171</v>
      </c>
      <c r="J64" s="3"/>
    </row>
  </sheetData>
  <mergeCells count="1">
    <mergeCell ref="A1:H1"/>
  </mergeCells>
  <dataValidations count="1">
    <dataValidation type="list" allowBlank="1" sqref="E3:E500" xr:uid="{00000000-0002-0000-1200-000000000000}">
      <formula1>"0,90,180,270"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9"/>
  <sheetViews>
    <sheetView workbookViewId="0">
      <pane ySplit="2" topLeftCell="A3" activePane="bottomLeft" state="frozen"/>
      <selection pane="bottomLeft" activeCell="C14" sqref="C14"/>
    </sheetView>
  </sheetViews>
  <sheetFormatPr defaultRowHeight="14.4" x14ac:dyDescent="0.3"/>
  <cols>
    <col min="1" max="1" width="14" customWidth="1"/>
    <col min="2" max="3" width="8" customWidth="1"/>
    <col min="4" max="4" width="14" customWidth="1"/>
    <col min="5" max="6" width="12" customWidth="1"/>
    <col min="7" max="9" width="8" customWidth="1"/>
  </cols>
  <sheetData>
    <row r="1" spans="1:9" ht="15.6" x14ac:dyDescent="0.3">
      <c r="A1" s="15" t="s">
        <v>253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254</v>
      </c>
      <c r="E2" s="1" t="s">
        <v>20</v>
      </c>
      <c r="F2" s="1" t="s">
        <v>6</v>
      </c>
      <c r="G2" s="1" t="s">
        <v>235</v>
      </c>
      <c r="H2" s="1" t="s">
        <v>236</v>
      </c>
      <c r="I2" s="1" t="s">
        <v>237</v>
      </c>
    </row>
    <row r="3" spans="1:9" x14ac:dyDescent="0.3">
      <c r="A3" s="2" t="s">
        <v>470</v>
      </c>
      <c r="B3" s="3">
        <v>145</v>
      </c>
      <c r="C3" s="3">
        <v>30</v>
      </c>
      <c r="D3" s="3">
        <v>36</v>
      </c>
      <c r="E3" s="2">
        <v>0</v>
      </c>
      <c r="F3" s="2"/>
      <c r="G3" s="2"/>
      <c r="H3" s="2"/>
      <c r="I3" s="2"/>
    </row>
    <row r="4" spans="1:9" x14ac:dyDescent="0.3">
      <c r="A4" s="2" t="s">
        <v>471</v>
      </c>
      <c r="B4" s="3">
        <v>145</v>
      </c>
      <c r="C4" s="3">
        <v>35</v>
      </c>
      <c r="D4" s="3">
        <v>36</v>
      </c>
      <c r="E4" s="2">
        <v>0</v>
      </c>
      <c r="F4" s="2"/>
      <c r="G4" s="2"/>
      <c r="H4" s="2"/>
      <c r="I4" s="2"/>
    </row>
    <row r="5" spans="1:9" x14ac:dyDescent="0.3">
      <c r="A5" s="2" t="s">
        <v>472</v>
      </c>
      <c r="B5" s="3">
        <v>145</v>
      </c>
      <c r="C5" s="3">
        <v>38</v>
      </c>
      <c r="D5" s="3">
        <v>36</v>
      </c>
      <c r="E5" s="2">
        <v>0</v>
      </c>
      <c r="F5" s="2"/>
      <c r="G5" s="2"/>
      <c r="H5" s="2"/>
      <c r="I5" s="2"/>
    </row>
    <row r="6" spans="1:9" x14ac:dyDescent="0.3">
      <c r="A6" s="2" t="s">
        <v>494</v>
      </c>
      <c r="B6" s="3">
        <f ca="1">RANDBETWEEN(160,175)</f>
        <v>168</v>
      </c>
      <c r="C6" s="3">
        <f ca="1">RANDBETWEEN(55,80)</f>
        <v>65</v>
      </c>
      <c r="D6" s="3">
        <v>36</v>
      </c>
      <c r="E6" s="2">
        <v>0</v>
      </c>
    </row>
    <row r="7" spans="1:9" x14ac:dyDescent="0.3">
      <c r="A7" s="2" t="s">
        <v>495</v>
      </c>
      <c r="B7" s="3">
        <f t="shared" ref="B7:B19" ca="1" si="0">RANDBETWEEN(160,175)</f>
        <v>166</v>
      </c>
      <c r="C7" s="3">
        <f t="shared" ref="C7:C19" ca="1" si="1">RANDBETWEEN(55,80)</f>
        <v>58</v>
      </c>
      <c r="D7" s="3">
        <v>36</v>
      </c>
      <c r="E7" s="2">
        <v>0</v>
      </c>
    </row>
    <row r="8" spans="1:9" x14ac:dyDescent="0.3">
      <c r="A8" s="2" t="s">
        <v>496</v>
      </c>
      <c r="B8" s="3">
        <f t="shared" ca="1" si="0"/>
        <v>168</v>
      </c>
      <c r="C8" s="3">
        <f t="shared" ca="1" si="1"/>
        <v>71</v>
      </c>
      <c r="D8" s="3">
        <v>36</v>
      </c>
      <c r="E8" s="2">
        <v>0</v>
      </c>
    </row>
    <row r="9" spans="1:9" x14ac:dyDescent="0.3">
      <c r="A9" s="2" t="s">
        <v>497</v>
      </c>
      <c r="B9" s="3">
        <f t="shared" ca="1" si="0"/>
        <v>165</v>
      </c>
      <c r="C9" s="3">
        <f t="shared" ca="1" si="1"/>
        <v>76</v>
      </c>
      <c r="D9" s="3">
        <v>36</v>
      </c>
      <c r="E9" s="2">
        <v>0</v>
      </c>
    </row>
    <row r="10" spans="1:9" x14ac:dyDescent="0.3">
      <c r="A10" s="2" t="s">
        <v>498</v>
      </c>
      <c r="B10" s="3">
        <f t="shared" ca="1" si="0"/>
        <v>166</v>
      </c>
      <c r="C10" s="3">
        <f t="shared" ca="1" si="1"/>
        <v>67</v>
      </c>
      <c r="D10" s="3">
        <v>36</v>
      </c>
      <c r="E10" s="2">
        <v>0</v>
      </c>
    </row>
    <row r="11" spans="1:9" x14ac:dyDescent="0.3">
      <c r="A11" s="2" t="s">
        <v>499</v>
      </c>
      <c r="B11" s="3">
        <f t="shared" ca="1" si="0"/>
        <v>168</v>
      </c>
      <c r="C11" s="3">
        <f t="shared" ca="1" si="1"/>
        <v>62</v>
      </c>
      <c r="D11" s="3">
        <v>36</v>
      </c>
      <c r="E11" s="2">
        <v>0</v>
      </c>
    </row>
    <row r="12" spans="1:9" x14ac:dyDescent="0.3">
      <c r="A12" s="2" t="s">
        <v>500</v>
      </c>
      <c r="B12" s="3">
        <f t="shared" ca="1" si="0"/>
        <v>168</v>
      </c>
      <c r="C12" s="3">
        <f ca="1">RANDBETWEEN(10,40)</f>
        <v>22</v>
      </c>
      <c r="D12" s="3">
        <v>36</v>
      </c>
      <c r="E12" s="2">
        <v>0</v>
      </c>
    </row>
    <row r="13" spans="1:9" x14ac:dyDescent="0.3">
      <c r="A13" s="2" t="s">
        <v>501</v>
      </c>
      <c r="B13" s="3">
        <f t="shared" ca="1" si="0"/>
        <v>173</v>
      </c>
      <c r="C13" s="3">
        <f ca="1">RANDBETWEEN(10,40)</f>
        <v>40</v>
      </c>
      <c r="D13" s="3">
        <v>36</v>
      </c>
      <c r="E13" s="2">
        <v>0</v>
      </c>
    </row>
    <row r="14" spans="1:9" x14ac:dyDescent="0.3">
      <c r="A14" s="2" t="s">
        <v>502</v>
      </c>
      <c r="B14" s="3">
        <f t="shared" ca="1" si="0"/>
        <v>165</v>
      </c>
      <c r="C14" s="3">
        <f t="shared" ref="C13:C19" ca="1" si="2">RANDBETWEEN(10,40)</f>
        <v>14</v>
      </c>
      <c r="D14" s="3">
        <v>36</v>
      </c>
      <c r="E14" s="2">
        <v>0</v>
      </c>
    </row>
    <row r="15" spans="1:9" x14ac:dyDescent="0.3">
      <c r="A15" s="2" t="s">
        <v>503</v>
      </c>
      <c r="B15" s="3">
        <f t="shared" ca="1" si="0"/>
        <v>171</v>
      </c>
      <c r="C15" s="3">
        <f t="shared" ca="1" si="2"/>
        <v>12</v>
      </c>
      <c r="D15" s="3">
        <v>36</v>
      </c>
      <c r="E15" s="2">
        <v>0</v>
      </c>
    </row>
    <row r="16" spans="1:9" x14ac:dyDescent="0.3">
      <c r="A16" s="2" t="s">
        <v>504</v>
      </c>
      <c r="B16" s="3">
        <f t="shared" ca="1" si="0"/>
        <v>172</v>
      </c>
      <c r="C16" s="3">
        <f t="shared" ca="1" si="2"/>
        <v>14</v>
      </c>
      <c r="D16" s="3">
        <v>36</v>
      </c>
      <c r="E16" s="2">
        <v>0</v>
      </c>
    </row>
    <row r="17" spans="1:5" x14ac:dyDescent="0.3">
      <c r="A17" s="2" t="s">
        <v>505</v>
      </c>
      <c r="B17" s="3">
        <f t="shared" ca="1" si="0"/>
        <v>174</v>
      </c>
      <c r="C17" s="3">
        <f t="shared" ca="1" si="2"/>
        <v>37</v>
      </c>
      <c r="D17" s="3">
        <v>36</v>
      </c>
      <c r="E17" s="2">
        <v>0</v>
      </c>
    </row>
    <row r="18" spans="1:5" x14ac:dyDescent="0.3">
      <c r="A18" s="2" t="s">
        <v>506</v>
      </c>
      <c r="B18" s="3">
        <f t="shared" ca="1" si="0"/>
        <v>172</v>
      </c>
      <c r="C18" s="3">
        <f t="shared" ca="1" si="2"/>
        <v>28</v>
      </c>
      <c r="D18" s="3">
        <v>36</v>
      </c>
      <c r="E18" s="2">
        <v>0</v>
      </c>
    </row>
    <row r="19" spans="1:5" x14ac:dyDescent="0.3">
      <c r="A19" s="2" t="s">
        <v>507</v>
      </c>
      <c r="B19" s="3">
        <f t="shared" ca="1" si="0"/>
        <v>163</v>
      </c>
      <c r="C19" s="3">
        <f t="shared" ca="1" si="2"/>
        <v>37</v>
      </c>
      <c r="D19" s="3">
        <v>36</v>
      </c>
      <c r="E19" s="2">
        <v>0</v>
      </c>
    </row>
  </sheetData>
  <mergeCells count="1">
    <mergeCell ref="A1:I1"/>
  </mergeCells>
  <phoneticPr fontId="4" type="noConversion"/>
  <dataValidations count="1">
    <dataValidation type="list" allowBlank="1" sqref="E3:E500" xr:uid="{00000000-0002-0000-1B00-000000000000}">
      <formula1>"0,90,180,270"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2" customWidth="1"/>
    <col min="2" max="3" width="8" customWidth="1"/>
    <col min="4" max="4" width="15" customWidth="1"/>
    <col min="5" max="6" width="12" customWidth="1"/>
    <col min="7" max="9" width="8" customWidth="1"/>
  </cols>
  <sheetData>
    <row r="1" spans="1:9" ht="15.6" x14ac:dyDescent="0.3">
      <c r="A1" s="15" t="s">
        <v>282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281</v>
      </c>
      <c r="E2" s="1" t="s">
        <v>20</v>
      </c>
      <c r="F2" s="1" t="s">
        <v>6</v>
      </c>
      <c r="G2" s="1" t="s">
        <v>235</v>
      </c>
      <c r="H2" s="1" t="s">
        <v>236</v>
      </c>
      <c r="I2" s="1" t="s">
        <v>237</v>
      </c>
    </row>
    <row r="3" spans="1:9" x14ac:dyDescent="0.3">
      <c r="A3" s="2"/>
      <c r="B3" s="3"/>
      <c r="C3" s="3"/>
      <c r="D3" s="3"/>
      <c r="E3" s="2"/>
      <c r="F3" s="2"/>
      <c r="G3" s="2"/>
      <c r="H3" s="2"/>
      <c r="I3" s="2"/>
    </row>
  </sheetData>
  <mergeCells count="1">
    <mergeCell ref="A1:I1"/>
  </mergeCells>
  <dataValidations count="1">
    <dataValidation type="list" allowBlank="1" sqref="E3:E500" xr:uid="{00000000-0002-0000-2000-000000000000}">
      <formula1>"0,90,180,270"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"/>
  <sheetViews>
    <sheetView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12" customWidth="1"/>
    <col min="2" max="3" width="8" customWidth="1"/>
    <col min="4" max="5" width="10" customWidth="1"/>
    <col min="6" max="6" width="16" customWidth="1"/>
    <col min="7" max="8" width="12" customWidth="1"/>
  </cols>
  <sheetData>
    <row r="1" spans="1:8" ht="15.6" x14ac:dyDescent="0.3">
      <c r="A1" s="15" t="s">
        <v>57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50</v>
      </c>
      <c r="E2" s="1" t="s">
        <v>49</v>
      </c>
      <c r="F2" s="1" t="s">
        <v>58</v>
      </c>
      <c r="G2" s="1" t="s">
        <v>20</v>
      </c>
      <c r="H2" s="1" t="s">
        <v>6</v>
      </c>
    </row>
  </sheetData>
  <mergeCells count="1">
    <mergeCell ref="A1:H1"/>
  </mergeCells>
  <dataValidations count="1">
    <dataValidation type="list" allowBlank="1" sqref="G3:G500" xr:uid="{00000000-0002-0000-0B00-000000000000}">
      <formula1>"0,90,180,270"</formula1>
    </dataValidation>
  </dataValidation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3" width="8" customWidth="1"/>
    <col min="4" max="5" width="10" customWidth="1"/>
    <col min="6" max="6" width="13" customWidth="1"/>
    <col min="7" max="7" width="12" customWidth="1"/>
  </cols>
  <sheetData>
    <row r="1" spans="1:7" ht="15.6" x14ac:dyDescent="0.3">
      <c r="A1" s="15" t="s">
        <v>53</v>
      </c>
      <c r="B1" s="16"/>
      <c r="C1" s="16"/>
      <c r="D1" s="16"/>
      <c r="E1" s="16"/>
      <c r="F1" s="16"/>
      <c r="G1" s="16"/>
    </row>
    <row r="2" spans="1:7" x14ac:dyDescent="0.3">
      <c r="A2" s="1" t="s">
        <v>1</v>
      </c>
      <c r="B2" s="1" t="s">
        <v>17</v>
      </c>
      <c r="C2" s="1" t="s">
        <v>18</v>
      </c>
      <c r="D2" s="1" t="s">
        <v>49</v>
      </c>
      <c r="E2" s="1" t="s">
        <v>50</v>
      </c>
      <c r="F2" s="1" t="s">
        <v>54</v>
      </c>
      <c r="G2" s="1" t="s">
        <v>6</v>
      </c>
    </row>
  </sheetData>
  <mergeCells count="1">
    <mergeCell ref="A1:G1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7"/>
  <sheetViews>
    <sheetView workbookViewId="0">
      <pane ySplit="2" topLeftCell="A3" activePane="bottomLeft" state="frozen"/>
      <selection pane="bottomLeft" activeCell="B3" sqref="B3:B7"/>
    </sheetView>
  </sheetViews>
  <sheetFormatPr defaultRowHeight="14.4" x14ac:dyDescent="0.3"/>
  <cols>
    <col min="1" max="1" width="22" customWidth="1"/>
    <col min="2" max="2" width="14" customWidth="1"/>
  </cols>
  <sheetData>
    <row r="1" spans="1:2" ht="15.6" x14ac:dyDescent="0.3">
      <c r="A1" s="15" t="s">
        <v>290</v>
      </c>
      <c r="B1" s="16"/>
    </row>
    <row r="2" spans="1:2" x14ac:dyDescent="0.3">
      <c r="A2" s="1" t="s">
        <v>291</v>
      </c>
      <c r="B2" s="1" t="s">
        <v>6</v>
      </c>
    </row>
    <row r="3" spans="1:2" x14ac:dyDescent="0.3">
      <c r="A3" s="2" t="s">
        <v>292</v>
      </c>
      <c r="B3" s="2" t="s">
        <v>293</v>
      </c>
    </row>
    <row r="4" spans="1:2" x14ac:dyDescent="0.3">
      <c r="A4" s="2" t="s">
        <v>294</v>
      </c>
      <c r="B4" s="2" t="s">
        <v>293</v>
      </c>
    </row>
    <row r="5" spans="1:2" x14ac:dyDescent="0.3">
      <c r="A5" s="2" t="s">
        <v>295</v>
      </c>
      <c r="B5" s="2" t="s">
        <v>293</v>
      </c>
    </row>
    <row r="6" spans="1:2" x14ac:dyDescent="0.3">
      <c r="A6" s="2" t="s">
        <v>296</v>
      </c>
      <c r="B6" s="2" t="s">
        <v>293</v>
      </c>
    </row>
    <row r="7" spans="1:2" x14ac:dyDescent="0.3">
      <c r="A7" s="2" t="s">
        <v>298</v>
      </c>
      <c r="B7" s="2" t="s">
        <v>293</v>
      </c>
    </row>
  </sheetData>
  <mergeCells count="1">
    <mergeCell ref="A1:B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1"/>
  <sheetViews>
    <sheetView workbookViewId="0">
      <pane ySplit="2" topLeftCell="A3" activePane="bottomLeft" state="frozen"/>
      <selection pane="bottomLeft" activeCell="C19" sqref="C19"/>
    </sheetView>
  </sheetViews>
  <sheetFormatPr defaultRowHeight="14.4" x14ac:dyDescent="0.3"/>
  <cols>
    <col min="1" max="1" width="12" customWidth="1"/>
    <col min="2" max="3" width="8" customWidth="1"/>
    <col min="4" max="5" width="12" customWidth="1"/>
    <col min="6" max="8" width="8" customWidth="1"/>
  </cols>
  <sheetData>
    <row r="1" spans="1:8" ht="15.6" x14ac:dyDescent="0.3">
      <c r="A1" s="15" t="s">
        <v>263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 t="s">
        <v>264</v>
      </c>
      <c r="B3" s="3">
        <v>30.5</v>
      </c>
      <c r="C3" s="3">
        <v>-2.5</v>
      </c>
      <c r="D3" s="2">
        <v>0</v>
      </c>
      <c r="E3" s="2"/>
      <c r="F3" s="2"/>
      <c r="G3" s="2"/>
      <c r="H3" s="2"/>
    </row>
    <row r="4" spans="1:8" x14ac:dyDescent="0.3">
      <c r="A4" s="2" t="s">
        <v>265</v>
      </c>
      <c r="B4" s="3">
        <v>35.5</v>
      </c>
      <c r="C4" s="3">
        <v>-2.5</v>
      </c>
      <c r="D4" s="2">
        <v>0</v>
      </c>
      <c r="E4" s="2"/>
      <c r="F4" s="2"/>
      <c r="G4" s="2"/>
      <c r="H4" s="2"/>
    </row>
    <row r="5" spans="1:8" x14ac:dyDescent="0.3">
      <c r="A5" s="2" t="s">
        <v>266</v>
      </c>
      <c r="B5" s="3">
        <v>40.5</v>
      </c>
      <c r="C5" s="3">
        <v>-2.5</v>
      </c>
      <c r="D5" s="2">
        <v>0</v>
      </c>
      <c r="E5" s="2"/>
      <c r="F5" s="2"/>
      <c r="G5" s="2"/>
      <c r="H5" s="2"/>
    </row>
    <row r="6" spans="1:8" x14ac:dyDescent="0.3">
      <c r="A6" s="2" t="s">
        <v>267</v>
      </c>
      <c r="B6" s="3">
        <v>90</v>
      </c>
      <c r="C6" s="3">
        <v>-2.5</v>
      </c>
      <c r="D6" s="2">
        <v>0</v>
      </c>
      <c r="E6" s="2"/>
      <c r="F6" s="2"/>
      <c r="G6" s="2"/>
      <c r="H6" s="2"/>
    </row>
    <row r="7" spans="1:8" x14ac:dyDescent="0.3">
      <c r="A7" s="2" t="s">
        <v>268</v>
      </c>
      <c r="B7" s="3">
        <v>95</v>
      </c>
      <c r="C7" s="3">
        <v>-2.5</v>
      </c>
      <c r="D7" s="2">
        <v>0</v>
      </c>
      <c r="E7" s="2"/>
      <c r="F7" s="2"/>
      <c r="G7" s="2"/>
      <c r="H7" s="2"/>
    </row>
    <row r="8" spans="1:8" x14ac:dyDescent="0.3">
      <c r="A8" s="2" t="s">
        <v>269</v>
      </c>
      <c r="B8" s="3">
        <v>100</v>
      </c>
      <c r="C8" s="3">
        <v>-2.5</v>
      </c>
      <c r="D8" s="2">
        <v>0</v>
      </c>
      <c r="E8" s="2"/>
      <c r="F8" s="2"/>
      <c r="G8" s="2"/>
      <c r="H8" s="2"/>
    </row>
    <row r="9" spans="1:8" x14ac:dyDescent="0.3">
      <c r="A9" s="2" t="s">
        <v>270</v>
      </c>
      <c r="B9" s="3">
        <v>105</v>
      </c>
      <c r="C9" s="3">
        <v>-2.5</v>
      </c>
      <c r="D9" s="2">
        <v>0</v>
      </c>
      <c r="E9" s="2"/>
      <c r="F9" s="2"/>
      <c r="G9" s="2"/>
      <c r="H9" s="2"/>
    </row>
    <row r="10" spans="1:8" x14ac:dyDescent="0.3">
      <c r="A10" s="2" t="s">
        <v>271</v>
      </c>
      <c r="B10" s="3">
        <v>110</v>
      </c>
      <c r="C10" s="3">
        <v>-2.5</v>
      </c>
      <c r="D10" s="2">
        <v>0</v>
      </c>
      <c r="E10" s="2"/>
      <c r="F10" s="2"/>
      <c r="G10" s="2"/>
      <c r="H10" s="2"/>
    </row>
    <row r="11" spans="1:8" x14ac:dyDescent="0.3">
      <c r="A11" s="2" t="s">
        <v>272</v>
      </c>
      <c r="B11" s="3">
        <v>115</v>
      </c>
      <c r="C11" s="3">
        <v>-2.5</v>
      </c>
      <c r="D11" s="2">
        <v>0</v>
      </c>
      <c r="E11" s="2"/>
      <c r="F11" s="2"/>
      <c r="G11" s="2"/>
      <c r="H11" s="2"/>
    </row>
    <row r="12" spans="1:8" x14ac:dyDescent="0.3">
      <c r="A12" s="2" t="s">
        <v>273</v>
      </c>
      <c r="B12" s="3">
        <v>122.5</v>
      </c>
      <c r="C12" s="3">
        <v>-2.5</v>
      </c>
      <c r="D12" s="2">
        <v>0</v>
      </c>
      <c r="E12" s="2"/>
      <c r="F12" s="2"/>
      <c r="G12" s="2"/>
      <c r="H12" s="2"/>
    </row>
    <row r="13" spans="1:8" x14ac:dyDescent="0.3">
      <c r="A13" s="2" t="s">
        <v>274</v>
      </c>
      <c r="B13" s="3">
        <v>127.5</v>
      </c>
      <c r="C13" s="3">
        <v>-2.5</v>
      </c>
      <c r="D13" s="2">
        <v>0</v>
      </c>
      <c r="E13" s="2"/>
      <c r="F13" s="2"/>
      <c r="G13" s="2"/>
      <c r="H13" s="2"/>
    </row>
    <row r="14" spans="1:8" x14ac:dyDescent="0.3">
      <c r="A14" s="2" t="s">
        <v>275</v>
      </c>
      <c r="B14" s="3">
        <v>132.5</v>
      </c>
      <c r="C14" s="3">
        <v>-2.5</v>
      </c>
      <c r="D14" s="2">
        <v>0</v>
      </c>
      <c r="E14" s="2"/>
      <c r="F14" s="2"/>
      <c r="G14" s="2"/>
      <c r="H14" s="2"/>
    </row>
    <row r="15" spans="1:8" x14ac:dyDescent="0.3">
      <c r="A15" s="2" t="s">
        <v>276</v>
      </c>
      <c r="B15" s="3">
        <v>177.75</v>
      </c>
      <c r="C15" s="3">
        <v>75</v>
      </c>
      <c r="D15" s="2">
        <v>90</v>
      </c>
      <c r="E15" s="2"/>
      <c r="F15" s="2"/>
      <c r="G15" s="2"/>
      <c r="H15" s="2"/>
    </row>
    <row r="16" spans="1:8" x14ac:dyDescent="0.3">
      <c r="A16" s="2" t="s">
        <v>277</v>
      </c>
      <c r="B16" s="3">
        <v>177.75</v>
      </c>
      <c r="C16" s="3">
        <v>80</v>
      </c>
      <c r="D16" s="2">
        <v>90</v>
      </c>
      <c r="E16" s="2"/>
      <c r="F16" s="2"/>
      <c r="G16" s="2"/>
      <c r="H16" s="2"/>
    </row>
    <row r="17" spans="1:8" x14ac:dyDescent="0.3">
      <c r="A17" s="2" t="s">
        <v>278</v>
      </c>
      <c r="B17" s="3">
        <v>177.75</v>
      </c>
      <c r="C17" s="3">
        <v>85</v>
      </c>
      <c r="D17" s="2">
        <v>90</v>
      </c>
      <c r="E17" s="2"/>
      <c r="F17" s="2"/>
      <c r="G17" s="2"/>
      <c r="H17" s="2"/>
    </row>
    <row r="18" spans="1:8" x14ac:dyDescent="0.3">
      <c r="A18" s="2" t="s">
        <v>279</v>
      </c>
      <c r="B18" s="3">
        <v>177.75</v>
      </c>
      <c r="C18" s="3">
        <v>90</v>
      </c>
      <c r="D18" s="2">
        <v>90</v>
      </c>
      <c r="E18" s="2"/>
      <c r="F18" s="2"/>
      <c r="G18" s="2"/>
      <c r="H18" s="2"/>
    </row>
    <row r="19" spans="1:8" x14ac:dyDescent="0.3">
      <c r="A19" s="2" t="s">
        <v>320</v>
      </c>
      <c r="B19" s="6">
        <v>14.3</v>
      </c>
      <c r="C19" s="6">
        <v>60</v>
      </c>
      <c r="D19" s="7">
        <v>270</v>
      </c>
    </row>
    <row r="20" spans="1:8" x14ac:dyDescent="0.3">
      <c r="A20" s="2" t="s">
        <v>321</v>
      </c>
      <c r="B20" s="6">
        <v>14.3</v>
      </c>
      <c r="C20" s="6">
        <v>65</v>
      </c>
      <c r="D20" s="7">
        <v>270</v>
      </c>
    </row>
    <row r="21" spans="1:8" x14ac:dyDescent="0.3">
      <c r="A21" s="2" t="s">
        <v>322</v>
      </c>
      <c r="B21" s="6">
        <v>14.3</v>
      </c>
      <c r="C21" s="6">
        <v>70</v>
      </c>
      <c r="D21" s="7">
        <v>270</v>
      </c>
    </row>
  </sheetData>
  <mergeCells count="1">
    <mergeCell ref="A1:H1"/>
  </mergeCells>
  <phoneticPr fontId="4" type="noConversion"/>
  <dataValidations count="1">
    <dataValidation type="list" allowBlank="1" sqref="D3:D500" xr:uid="{00000000-0002-0000-1E00-000000000000}">
      <formula1>"0,90,180,270"</formula1>
    </dataValidation>
  </dataValidation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6"/>
  <sheetViews>
    <sheetView workbookViewId="0">
      <pane ySplit="2" topLeftCell="A3" activePane="bottomLeft" state="frozen"/>
      <selection pane="bottomLeft" activeCell="C7" sqref="C7"/>
    </sheetView>
  </sheetViews>
  <sheetFormatPr defaultRowHeight="14.4" x14ac:dyDescent="0.3"/>
  <cols>
    <col min="1" max="1" width="14" customWidth="1"/>
    <col min="2" max="3" width="8" customWidth="1"/>
    <col min="4" max="5" width="12" customWidth="1"/>
    <col min="6" max="8" width="8" customWidth="1"/>
  </cols>
  <sheetData>
    <row r="1" spans="1:8" ht="15.6" x14ac:dyDescent="0.3">
      <c r="A1" s="15" t="s">
        <v>241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t="s">
        <v>301</v>
      </c>
      <c r="B3">
        <v>180</v>
      </c>
      <c r="C3">
        <v>75</v>
      </c>
      <c r="D3">
        <v>90</v>
      </c>
    </row>
    <row r="4" spans="1:8" x14ac:dyDescent="0.3">
      <c r="A4" t="s">
        <v>302</v>
      </c>
      <c r="B4">
        <v>180</v>
      </c>
      <c r="C4">
        <v>80</v>
      </c>
      <c r="D4">
        <v>90</v>
      </c>
    </row>
    <row r="5" spans="1:8" x14ac:dyDescent="0.3">
      <c r="A5" t="s">
        <v>303</v>
      </c>
      <c r="B5">
        <v>180</v>
      </c>
      <c r="C5">
        <v>85</v>
      </c>
      <c r="D5">
        <v>90</v>
      </c>
    </row>
    <row r="6" spans="1:8" x14ac:dyDescent="0.3">
      <c r="A6" t="s">
        <v>304</v>
      </c>
      <c r="B6">
        <v>180</v>
      </c>
      <c r="C6">
        <v>90</v>
      </c>
      <c r="D6">
        <v>90</v>
      </c>
    </row>
  </sheetData>
  <mergeCells count="1">
    <mergeCell ref="A1:H1"/>
  </mergeCells>
  <phoneticPr fontId="4" type="noConversion"/>
  <dataValidations count="1">
    <dataValidation type="list" allowBlank="1" sqref="D3:D499" xr:uid="{00000000-0002-0000-1500-000000000000}">
      <formula1>"0,90,180,270"</formula1>
    </dataValidation>
  </dataValidations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2" customWidth="1"/>
    <col min="2" max="3" width="8" customWidth="1"/>
    <col min="4" max="4" width="15" customWidth="1"/>
    <col min="5" max="6" width="12" customWidth="1"/>
    <col min="7" max="9" width="8" customWidth="1"/>
  </cols>
  <sheetData>
    <row r="1" spans="1:9" ht="15.6" x14ac:dyDescent="0.3">
      <c r="A1" s="15" t="s">
        <v>280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281</v>
      </c>
      <c r="E2" s="1" t="s">
        <v>20</v>
      </c>
      <c r="F2" s="1" t="s">
        <v>6</v>
      </c>
      <c r="G2" s="1" t="s">
        <v>235</v>
      </c>
      <c r="H2" s="1" t="s">
        <v>236</v>
      </c>
      <c r="I2" s="1" t="s">
        <v>237</v>
      </c>
    </row>
    <row r="3" spans="1:9" x14ac:dyDescent="0.3">
      <c r="A3" s="2"/>
      <c r="B3" s="3"/>
      <c r="C3" s="3"/>
      <c r="D3" s="3"/>
      <c r="E3" s="2"/>
      <c r="F3" s="2"/>
      <c r="G3" s="2"/>
      <c r="H3" s="2"/>
      <c r="I3" s="2"/>
    </row>
  </sheetData>
  <mergeCells count="1">
    <mergeCell ref="A1:I1"/>
  </mergeCells>
  <dataValidations count="1">
    <dataValidation type="list" allowBlank="1" sqref="E3:E500" xr:uid="{00000000-0002-0000-1F00-000000000000}">
      <formula1>"0,90,180,270"</formula1>
    </dataValidation>
  </dataValidations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4"/>
  <sheetViews>
    <sheetView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18.5546875" customWidth="1"/>
    <col min="6" max="6" width="17" customWidth="1"/>
    <col min="7" max="8" width="8" customWidth="1"/>
  </cols>
  <sheetData>
    <row r="1" spans="1:6" ht="15.6" x14ac:dyDescent="0.3">
      <c r="A1" s="15" t="s">
        <v>242</v>
      </c>
      <c r="B1" s="16"/>
      <c r="C1" s="16"/>
      <c r="D1" s="16"/>
      <c r="E1" s="16"/>
      <c r="F1" s="16"/>
    </row>
    <row r="2" spans="1:6" x14ac:dyDescent="0.3">
      <c r="A2" s="1" t="s">
        <v>1</v>
      </c>
      <c r="B2" s="13" t="s">
        <v>17</v>
      </c>
      <c r="C2" s="13" t="s">
        <v>18</v>
      </c>
      <c r="D2" s="13" t="s">
        <v>20</v>
      </c>
      <c r="E2" s="13" t="s">
        <v>64</v>
      </c>
      <c r="F2" s="13" t="s">
        <v>6</v>
      </c>
    </row>
    <row r="3" spans="1:6" x14ac:dyDescent="0.3">
      <c r="A3" t="s">
        <v>243</v>
      </c>
      <c r="B3">
        <v>0</v>
      </c>
      <c r="C3">
        <v>42</v>
      </c>
      <c r="D3">
        <v>90</v>
      </c>
      <c r="E3">
        <v>0</v>
      </c>
    </row>
    <row r="4" spans="1:6" x14ac:dyDescent="0.3">
      <c r="A4" t="s">
        <v>244</v>
      </c>
      <c r="B4">
        <v>180</v>
      </c>
      <c r="C4">
        <v>42</v>
      </c>
      <c r="D4">
        <v>90</v>
      </c>
      <c r="E4">
        <v>0</v>
      </c>
    </row>
  </sheetData>
  <mergeCells count="1">
    <mergeCell ref="A1:F1"/>
  </mergeCells>
  <dataValidations count="1">
    <dataValidation type="list" allowBlank="1" sqref="D3:D495" xr:uid="{00000000-0002-0000-1600-000000000000}">
      <formula1>"0,90,180,270"</formula1>
    </dataValidation>
  </dataValidations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2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2" customWidth="1"/>
    <col min="2" max="3" width="8" customWidth="1"/>
    <col min="4" max="4" width="12" customWidth="1"/>
    <col min="5" max="5" width="16" customWidth="1"/>
    <col min="6" max="6" width="12" customWidth="1"/>
  </cols>
  <sheetData>
    <row r="1" spans="1:6" ht="15.6" x14ac:dyDescent="0.3">
      <c r="A1" s="15" t="s">
        <v>287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281</v>
      </c>
      <c r="F2" s="1" t="s">
        <v>6</v>
      </c>
    </row>
  </sheetData>
  <mergeCells count="1">
    <mergeCell ref="A1:F1"/>
  </mergeCells>
  <dataValidations count="1">
    <dataValidation type="list" allowBlank="1" sqref="D3:D500" xr:uid="{00000000-0002-0000-2400-000000000000}">
      <formula1>"0,90,180,270"</formula1>
    </dataValidation>
  </dataValidations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"/>
  <sheetViews>
    <sheetView workbookViewId="0">
      <pane ySplit="2" topLeftCell="A3" activePane="bottomLeft" state="frozen"/>
      <selection pane="bottomLeft" activeCell="E11" sqref="E11"/>
    </sheetView>
  </sheetViews>
  <sheetFormatPr defaultRowHeight="14.4" x14ac:dyDescent="0.3"/>
  <cols>
    <col min="1" max="1" width="10" customWidth="1"/>
    <col min="2" max="3" width="8" customWidth="1"/>
    <col min="4" max="4" width="12" customWidth="1"/>
    <col min="5" max="5" width="10" customWidth="1"/>
    <col min="6" max="6" width="16" customWidth="1"/>
  </cols>
  <sheetData>
    <row r="1" spans="1:6" ht="15.6" x14ac:dyDescent="0.3">
      <c r="A1" s="15" t="s">
        <v>62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63</v>
      </c>
      <c r="F2" s="1" t="s">
        <v>64</v>
      </c>
    </row>
    <row r="3" spans="1:6" x14ac:dyDescent="0.3">
      <c r="A3" s="2" t="s">
        <v>65</v>
      </c>
      <c r="B3" s="3">
        <v>29</v>
      </c>
      <c r="C3" s="3">
        <v>-5</v>
      </c>
      <c r="D3" s="2">
        <v>0</v>
      </c>
      <c r="E3" s="2" t="s">
        <v>66</v>
      </c>
      <c r="F3" s="3">
        <v>0</v>
      </c>
    </row>
    <row r="4" spans="1:6" x14ac:dyDescent="0.3">
      <c r="A4" s="2" t="s">
        <v>67</v>
      </c>
      <c r="B4" s="3">
        <v>34</v>
      </c>
      <c r="C4" s="3">
        <v>-5</v>
      </c>
      <c r="D4" s="2">
        <v>180</v>
      </c>
      <c r="E4" s="2" t="s">
        <v>66</v>
      </c>
      <c r="F4" s="3">
        <v>0</v>
      </c>
    </row>
    <row r="5" spans="1:6" x14ac:dyDescent="0.3">
      <c r="A5" s="2" t="s">
        <v>467</v>
      </c>
      <c r="B5" s="3">
        <v>108.7</v>
      </c>
      <c r="C5" s="3">
        <v>-5</v>
      </c>
      <c r="D5" s="2">
        <v>180</v>
      </c>
      <c r="E5" s="2" t="s">
        <v>66</v>
      </c>
      <c r="F5" s="3">
        <v>0</v>
      </c>
    </row>
    <row r="6" spans="1:6" x14ac:dyDescent="0.3">
      <c r="A6" s="2" t="s">
        <v>468</v>
      </c>
      <c r="B6" s="3">
        <v>18</v>
      </c>
      <c r="C6" s="3">
        <v>30</v>
      </c>
      <c r="D6" s="2">
        <v>270</v>
      </c>
      <c r="E6" s="2" t="s">
        <v>473</v>
      </c>
      <c r="F6" s="3">
        <v>0</v>
      </c>
    </row>
    <row r="7" spans="1:6" x14ac:dyDescent="0.3">
      <c r="A7" s="2" t="s">
        <v>469</v>
      </c>
      <c r="B7" s="3">
        <v>135</v>
      </c>
      <c r="C7" s="3">
        <v>35</v>
      </c>
      <c r="D7" s="2">
        <v>90</v>
      </c>
      <c r="E7" s="2" t="s">
        <v>473</v>
      </c>
      <c r="F7" s="3">
        <v>0</v>
      </c>
    </row>
    <row r="8" spans="1:6" x14ac:dyDescent="0.3">
      <c r="A8" s="2" t="s">
        <v>474</v>
      </c>
      <c r="B8" s="3">
        <v>138</v>
      </c>
      <c r="C8" s="3">
        <v>30</v>
      </c>
      <c r="D8" s="2">
        <v>90</v>
      </c>
      <c r="E8" s="2" t="s">
        <v>473</v>
      </c>
      <c r="F8" s="3">
        <v>0</v>
      </c>
    </row>
    <row r="9" spans="1:6" x14ac:dyDescent="0.3">
      <c r="A9" s="2" t="s">
        <v>475</v>
      </c>
      <c r="B9" s="3">
        <v>95</v>
      </c>
      <c r="C9" s="3">
        <v>42</v>
      </c>
      <c r="D9" s="2">
        <v>90</v>
      </c>
      <c r="E9" s="2" t="s">
        <v>477</v>
      </c>
      <c r="F9" s="3">
        <v>0</v>
      </c>
    </row>
    <row r="10" spans="1:6" x14ac:dyDescent="0.3">
      <c r="A10" s="2" t="s">
        <v>476</v>
      </c>
      <c r="B10" s="3">
        <v>85.5</v>
      </c>
      <c r="C10" s="3">
        <v>65</v>
      </c>
      <c r="D10" s="2">
        <v>0</v>
      </c>
      <c r="E10" s="2" t="s">
        <v>477</v>
      </c>
      <c r="F10" s="3">
        <v>0</v>
      </c>
    </row>
    <row r="11" spans="1:6" x14ac:dyDescent="0.3">
      <c r="A11" s="2" t="s">
        <v>490</v>
      </c>
      <c r="B11" s="3">
        <v>165</v>
      </c>
      <c r="C11" s="3">
        <v>85</v>
      </c>
      <c r="D11" s="2">
        <v>270</v>
      </c>
      <c r="E11" s="2" t="s">
        <v>66</v>
      </c>
      <c r="F11" s="3">
        <v>0</v>
      </c>
    </row>
  </sheetData>
  <mergeCells count="1">
    <mergeCell ref="A1:F1"/>
  </mergeCells>
  <phoneticPr fontId="4" type="noConversion"/>
  <dataValidations count="2">
    <dataValidation type="list" allowBlank="1" sqref="D3:D500" xr:uid="{00000000-0002-0000-0D00-000000000000}">
      <formula1>"0,90,180,270"</formula1>
    </dataValidation>
    <dataValidation type="list" allowBlank="1" sqref="E3:E500" xr:uid="{00000000-0002-0000-0D00-000001000000}">
      <formula1>"cb,rt,pp"</formula1>
    </dataValidation>
  </dataValidation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4" customWidth="1"/>
    <col min="2" max="3" width="8" customWidth="1"/>
    <col min="4" max="4" width="12" customWidth="1"/>
    <col min="5" max="5" width="9" customWidth="1"/>
    <col min="6" max="6" width="12" customWidth="1"/>
    <col min="7" max="9" width="8" customWidth="1"/>
  </cols>
  <sheetData>
    <row r="1" spans="1:9" ht="15.6" x14ac:dyDescent="0.3">
      <c r="A1" s="15" t="s">
        <v>246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234</v>
      </c>
      <c r="F2" s="1" t="s">
        <v>6</v>
      </c>
      <c r="G2" s="1" t="s">
        <v>235</v>
      </c>
      <c r="H2" s="1" t="s">
        <v>236</v>
      </c>
      <c r="I2" s="1" t="s">
        <v>237</v>
      </c>
    </row>
  </sheetData>
  <mergeCells count="1">
    <mergeCell ref="A1:I1"/>
  </mergeCells>
  <dataValidations count="2">
    <dataValidation type="list" allowBlank="1" sqref="D3:D500" xr:uid="{00000000-0002-0000-1800-000000000000}">
      <formula1>"0,90,180,270"</formula1>
    </dataValidation>
    <dataValidation type="list" allowBlank="1" sqref="E3:E500" xr:uid="{00000000-0002-0000-1800-000001000000}">
      <formula1>"open,close"</formula1>
    </dataValidation>
  </dataValidations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4" customWidth="1"/>
    <col min="2" max="3" width="8" customWidth="1"/>
    <col min="4" max="4" width="12" customWidth="1"/>
    <col min="5" max="5" width="9" customWidth="1"/>
    <col min="6" max="6" width="12" customWidth="1"/>
    <col min="7" max="9" width="8" customWidth="1"/>
  </cols>
  <sheetData>
    <row r="1" spans="1:9" ht="15.6" x14ac:dyDescent="0.3">
      <c r="A1" s="15" t="s">
        <v>245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234</v>
      </c>
      <c r="F2" s="1" t="s">
        <v>6</v>
      </c>
      <c r="G2" s="1" t="s">
        <v>235</v>
      </c>
      <c r="H2" s="1" t="s">
        <v>236</v>
      </c>
      <c r="I2" s="1" t="s">
        <v>237</v>
      </c>
    </row>
  </sheetData>
  <mergeCells count="1">
    <mergeCell ref="A1:I1"/>
  </mergeCells>
  <dataValidations count="2">
    <dataValidation type="list" allowBlank="1" sqref="D3:D500" xr:uid="{00000000-0002-0000-1700-000000000000}">
      <formula1>"0,90,180,270"</formula1>
    </dataValidation>
    <dataValidation type="list" allowBlank="1" sqref="E3:E500" xr:uid="{00000000-0002-0000-1700-000001000000}">
      <formula1>"open,close"</formula1>
    </dataValidation>
  </dataValidations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2" customWidth="1"/>
    <col min="2" max="3" width="8" customWidth="1"/>
    <col min="4" max="4" width="15" customWidth="1"/>
    <col min="5" max="5" width="12" customWidth="1"/>
    <col min="6" max="8" width="8" customWidth="1"/>
  </cols>
  <sheetData>
    <row r="1" spans="1:8" ht="15.6" x14ac:dyDescent="0.3">
      <c r="A1" s="15" t="s">
        <v>285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284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/>
      <c r="B3" s="3"/>
      <c r="C3" s="3"/>
      <c r="D3" s="3"/>
      <c r="E3" s="2"/>
      <c r="F3" s="2"/>
      <c r="G3" s="2"/>
      <c r="H3" s="2"/>
    </row>
  </sheetData>
  <mergeCells count="1">
    <mergeCell ref="A1:H1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2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14" customWidth="1"/>
    <col min="2" max="3" width="8" customWidth="1"/>
    <col min="4" max="6" width="12" customWidth="1"/>
  </cols>
  <sheetData>
    <row r="1" spans="1:6" ht="15.6" x14ac:dyDescent="0.3">
      <c r="A1" s="15" t="s">
        <v>288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289</v>
      </c>
      <c r="F2" s="1" t="s">
        <v>6</v>
      </c>
    </row>
  </sheetData>
  <mergeCells count="1">
    <mergeCell ref="A1:F1"/>
  </mergeCells>
  <dataValidations count="1">
    <dataValidation type="list" allowBlank="1" sqref="D3:D500" xr:uid="{00000000-0002-0000-2500-000000000000}">
      <formula1>"0,90,180,270"</formula1>
    </dataValidation>
  </dataValidations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pane ySplit="2" topLeftCell="A3" activePane="bottomLeft" state="frozen"/>
      <selection pane="bottomLeft" activeCell="K16" sqref="K16"/>
    </sheetView>
  </sheetViews>
  <sheetFormatPr defaultRowHeight="14.4" x14ac:dyDescent="0.3"/>
  <cols>
    <col min="1" max="1" width="12" customWidth="1"/>
    <col min="2" max="5" width="9" customWidth="1"/>
    <col min="6" max="6" width="12" customWidth="1"/>
  </cols>
  <sheetData>
    <row r="1" spans="1:6" ht="15.6" x14ac:dyDescent="0.3">
      <c r="A1" s="15" t="s">
        <v>0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mergeCells count="1">
    <mergeCell ref="A1:F1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"/>
  <sheetViews>
    <sheetView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12" customWidth="1"/>
    <col min="2" max="3" width="8" customWidth="1"/>
    <col min="4" max="5" width="12" customWidth="1"/>
    <col min="6" max="7" width="8" customWidth="1"/>
    <col min="8" max="8" width="16.33203125" bestFit="1" customWidth="1"/>
    <col min="9" max="9" width="11.33203125" bestFit="1" customWidth="1"/>
  </cols>
  <sheetData>
    <row r="1" spans="1:9" ht="15.6" x14ac:dyDescent="0.3">
      <c r="A1" s="15" t="s">
        <v>249</v>
      </c>
      <c r="B1" s="16"/>
      <c r="C1" s="16"/>
      <c r="D1" s="16"/>
      <c r="E1" s="16"/>
      <c r="F1" s="16"/>
      <c r="G1" s="16"/>
      <c r="H1" s="16"/>
      <c r="I1" s="12"/>
    </row>
    <row r="2" spans="1:9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235</v>
      </c>
      <c r="F2" s="1" t="s">
        <v>236</v>
      </c>
      <c r="G2" s="1" t="s">
        <v>237</v>
      </c>
      <c r="H2" s="1" t="s">
        <v>64</v>
      </c>
      <c r="I2" s="1" t="s">
        <v>6</v>
      </c>
    </row>
    <row r="3" spans="1:9" x14ac:dyDescent="0.3">
      <c r="A3" t="s">
        <v>250</v>
      </c>
      <c r="B3" s="3">
        <v>0</v>
      </c>
      <c r="C3" s="3">
        <v>1</v>
      </c>
      <c r="D3">
        <v>90</v>
      </c>
      <c r="E3">
        <v>3</v>
      </c>
      <c r="F3">
        <v>40</v>
      </c>
      <c r="G3">
        <v>0.1</v>
      </c>
      <c r="H3">
        <v>0</v>
      </c>
    </row>
    <row r="4" spans="1:9" x14ac:dyDescent="0.3">
      <c r="A4" t="s">
        <v>251</v>
      </c>
      <c r="B4" s="3">
        <v>12</v>
      </c>
      <c r="C4" s="3">
        <v>100</v>
      </c>
      <c r="D4">
        <v>0</v>
      </c>
      <c r="E4">
        <v>3</v>
      </c>
      <c r="F4">
        <v>168</v>
      </c>
      <c r="G4">
        <v>0.1</v>
      </c>
      <c r="H4">
        <v>0</v>
      </c>
    </row>
    <row r="5" spans="1:9" x14ac:dyDescent="0.3">
      <c r="A5" t="s">
        <v>252</v>
      </c>
      <c r="B5" s="3">
        <v>180</v>
      </c>
      <c r="C5" s="3">
        <v>1</v>
      </c>
      <c r="D5">
        <v>90</v>
      </c>
      <c r="E5">
        <v>3</v>
      </c>
      <c r="F5">
        <v>40</v>
      </c>
      <c r="G5">
        <v>0.1</v>
      </c>
      <c r="H5">
        <v>0</v>
      </c>
    </row>
  </sheetData>
  <mergeCells count="1">
    <mergeCell ref="A1:H1"/>
  </mergeCells>
  <phoneticPr fontId="4" type="noConversion"/>
  <dataValidations count="1">
    <dataValidation type="list" allowBlank="1" sqref="D3:D485" xr:uid="{00000000-0002-0000-1A00-000000000000}">
      <formula1>"0,90,180,270"</formula1>
    </dataValidation>
  </dataValidations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2" topLeftCell="A3" activePane="bottomLeft" state="frozen"/>
      <selection pane="bottomLeft" activeCell="F13" sqref="F13"/>
    </sheetView>
  </sheetViews>
  <sheetFormatPr defaultRowHeight="14.4" x14ac:dyDescent="0.3"/>
  <cols>
    <col min="1" max="1" width="14" customWidth="1"/>
    <col min="2" max="4" width="8" customWidth="1"/>
    <col min="5" max="6" width="10" customWidth="1"/>
    <col min="7" max="7" width="16" customWidth="1"/>
    <col min="8" max="8" width="12" customWidth="1"/>
    <col min="9" max="9" width="10" customWidth="1"/>
    <col min="10" max="10" width="12" customWidth="1"/>
  </cols>
  <sheetData>
    <row r="1" spans="1:10" ht="15.6" x14ac:dyDescent="0.3">
      <c r="A1" s="15" t="s">
        <v>47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1" t="s">
        <v>1</v>
      </c>
      <c r="B2" s="1" t="s">
        <v>17</v>
      </c>
      <c r="C2" s="1" t="s">
        <v>18</v>
      </c>
      <c r="D2" s="1" t="s">
        <v>48</v>
      </c>
      <c r="E2" s="1" t="s">
        <v>49</v>
      </c>
      <c r="F2" s="1" t="s">
        <v>50</v>
      </c>
      <c r="G2" s="1" t="s">
        <v>46</v>
      </c>
      <c r="H2" s="1" t="s">
        <v>20</v>
      </c>
      <c r="I2" s="1" t="s">
        <v>51</v>
      </c>
      <c r="J2" s="1" t="s">
        <v>6</v>
      </c>
    </row>
  </sheetData>
  <mergeCells count="1">
    <mergeCell ref="A1:J1"/>
  </mergeCells>
  <dataValidations count="2">
    <dataValidation type="list" allowBlank="1" sqref="H3:H500" xr:uid="{00000000-0002-0000-0700-000000000000}">
      <formula1>"0,90,180,270"</formula1>
    </dataValidation>
    <dataValidation type="list" allowBlank="1" sqref="I3:I500" xr:uid="{00000000-0002-0000-0700-000001000000}">
      <formula1>"show,hide"</formula1>
    </dataValidation>
  </dataValidations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workbookViewId="0">
      <pane ySplit="2" topLeftCell="A3" activePane="bottomLeft" state="frozen"/>
      <selection pane="bottomLeft" activeCell="F8" sqref="F8"/>
    </sheetView>
  </sheetViews>
  <sheetFormatPr defaultRowHeight="14.4" x14ac:dyDescent="0.3"/>
  <cols>
    <col min="1" max="1" width="12" customWidth="1"/>
    <col min="2" max="5" width="9" customWidth="1"/>
    <col min="6" max="6" width="8" customWidth="1"/>
    <col min="7" max="7" width="16" customWidth="1"/>
    <col min="8" max="8" width="14" customWidth="1"/>
    <col min="9" max="9" width="12" customWidth="1"/>
  </cols>
  <sheetData>
    <row r="1" spans="1:9" ht="15.6" x14ac:dyDescent="0.3">
      <c r="A1" s="15" t="s">
        <v>44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45</v>
      </c>
      <c r="G2" s="1" t="s">
        <v>46</v>
      </c>
      <c r="H2" s="1" t="s">
        <v>24</v>
      </c>
      <c r="I2" s="1" t="s">
        <v>6</v>
      </c>
    </row>
    <row r="3" spans="1:9" x14ac:dyDescent="0.3">
      <c r="A3" t="s">
        <v>41</v>
      </c>
      <c r="B3">
        <v>50</v>
      </c>
      <c r="C3">
        <v>-12</v>
      </c>
      <c r="D3">
        <v>62</v>
      </c>
      <c r="E3">
        <v>0</v>
      </c>
      <c r="F3">
        <v>2</v>
      </c>
      <c r="G3">
        <v>4.25</v>
      </c>
      <c r="H3" t="s">
        <v>26</v>
      </c>
      <c r="I3" t="s">
        <v>27</v>
      </c>
    </row>
    <row r="4" spans="1:9" x14ac:dyDescent="0.3">
      <c r="A4" t="s">
        <v>42</v>
      </c>
      <c r="B4">
        <v>62</v>
      </c>
      <c r="C4">
        <v>-12</v>
      </c>
      <c r="D4">
        <v>80</v>
      </c>
      <c r="E4">
        <v>0</v>
      </c>
      <c r="F4">
        <v>2</v>
      </c>
      <c r="G4">
        <v>4.25</v>
      </c>
      <c r="H4" t="s">
        <v>26</v>
      </c>
      <c r="I4" t="s">
        <v>27</v>
      </c>
    </row>
    <row r="5" spans="1:9" x14ac:dyDescent="0.3">
      <c r="A5" t="s">
        <v>43</v>
      </c>
      <c r="B5">
        <v>145</v>
      </c>
      <c r="C5">
        <v>-12</v>
      </c>
      <c r="D5">
        <v>157</v>
      </c>
      <c r="E5">
        <v>0</v>
      </c>
      <c r="F5">
        <v>2</v>
      </c>
      <c r="G5">
        <v>4.25</v>
      </c>
      <c r="H5" t="s">
        <v>26</v>
      </c>
      <c r="I5" t="s">
        <v>27</v>
      </c>
    </row>
    <row r="6" spans="1:9" x14ac:dyDescent="0.3">
      <c r="A6" t="s">
        <v>415</v>
      </c>
      <c r="B6">
        <v>180</v>
      </c>
      <c r="C6">
        <v>50</v>
      </c>
      <c r="D6">
        <v>192</v>
      </c>
      <c r="E6">
        <v>62</v>
      </c>
      <c r="F6">
        <v>2</v>
      </c>
      <c r="G6">
        <v>4.25</v>
      </c>
      <c r="H6" t="s">
        <v>26</v>
      </c>
      <c r="I6" t="s">
        <v>416</v>
      </c>
    </row>
    <row r="7" spans="1:9" x14ac:dyDescent="0.3">
      <c r="A7" t="s">
        <v>417</v>
      </c>
      <c r="B7">
        <v>0</v>
      </c>
      <c r="C7">
        <v>84.5</v>
      </c>
      <c r="D7">
        <v>12</v>
      </c>
      <c r="E7">
        <v>96.5</v>
      </c>
      <c r="F7">
        <v>2</v>
      </c>
      <c r="G7">
        <v>4.25</v>
      </c>
      <c r="H7" t="s">
        <v>26</v>
      </c>
      <c r="I7" t="s">
        <v>418</v>
      </c>
    </row>
  </sheetData>
  <mergeCells count="1">
    <mergeCell ref="A1:I1"/>
  </mergeCells>
  <phoneticPr fontId="4" type="noConversion"/>
  <dataValidations count="1">
    <dataValidation type="list" allowBlank="1" sqref="H3:H500" xr:uid="{00000000-0002-0000-0600-000000000000}">
      <formula1>"opaque,transparent"</formula1>
    </dataValidation>
  </dataValidations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BA96-CD28-4FE4-B163-BAD74BCA461E}">
  <dimension ref="A1:M71"/>
  <sheetViews>
    <sheetView workbookViewId="0">
      <pane ySplit="2" topLeftCell="A16" activePane="bottomLeft" state="frozen"/>
      <selection sqref="A1:G1"/>
      <selection pane="bottomLeft" activeCell="A37" sqref="A37"/>
    </sheetView>
  </sheetViews>
  <sheetFormatPr defaultRowHeight="14.4" x14ac:dyDescent="0.3"/>
  <cols>
    <col min="1" max="1" width="21.77734375" customWidth="1"/>
    <col min="2" max="3" width="8" customWidth="1"/>
    <col min="4" max="4" width="10" customWidth="1"/>
    <col min="5" max="5" width="12" customWidth="1"/>
    <col min="6" max="7" width="8" customWidth="1"/>
    <col min="8" max="8" width="12" customWidth="1"/>
  </cols>
  <sheetData>
    <row r="1" spans="1:8" ht="19.95" customHeight="1" x14ac:dyDescent="0.3">
      <c r="A1" s="15" t="s">
        <v>343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345</v>
      </c>
      <c r="E2" s="1" t="s">
        <v>20</v>
      </c>
      <c r="F2" s="1" t="s">
        <v>235</v>
      </c>
      <c r="G2" s="1" t="s">
        <v>236</v>
      </c>
      <c r="H2" s="1" t="s">
        <v>6</v>
      </c>
    </row>
    <row r="3" spans="1:8" x14ac:dyDescent="0.3">
      <c r="A3" s="4" t="s">
        <v>375</v>
      </c>
      <c r="B3">
        <v>15</v>
      </c>
      <c r="C3">
        <v>-31</v>
      </c>
      <c r="D3">
        <v>1</v>
      </c>
      <c r="E3">
        <v>0</v>
      </c>
      <c r="F3">
        <v>5</v>
      </c>
      <c r="G3">
        <v>18</v>
      </c>
    </row>
    <row r="4" spans="1:8" x14ac:dyDescent="0.3">
      <c r="A4" s="4" t="s">
        <v>374</v>
      </c>
      <c r="B4">
        <v>20</v>
      </c>
      <c r="C4">
        <v>-31</v>
      </c>
      <c r="D4">
        <v>2</v>
      </c>
      <c r="E4">
        <v>0</v>
      </c>
      <c r="F4">
        <v>5</v>
      </c>
      <c r="G4">
        <v>18</v>
      </c>
    </row>
    <row r="5" spans="1:8" x14ac:dyDescent="0.3">
      <c r="A5" s="4" t="s">
        <v>373</v>
      </c>
      <c r="B5">
        <v>25</v>
      </c>
      <c r="C5">
        <v>-31</v>
      </c>
      <c r="D5">
        <v>3</v>
      </c>
      <c r="E5">
        <v>0</v>
      </c>
      <c r="F5">
        <v>5</v>
      </c>
      <c r="G5">
        <v>18</v>
      </c>
    </row>
    <row r="6" spans="1:8" x14ac:dyDescent="0.3">
      <c r="A6" s="4" t="s">
        <v>372</v>
      </c>
      <c r="B6">
        <v>30</v>
      </c>
      <c r="C6">
        <v>-31</v>
      </c>
      <c r="D6">
        <v>4</v>
      </c>
      <c r="E6">
        <v>0</v>
      </c>
      <c r="F6">
        <v>5</v>
      </c>
      <c r="G6">
        <v>18</v>
      </c>
    </row>
    <row r="7" spans="1:8" x14ac:dyDescent="0.3">
      <c r="A7" s="4" t="s">
        <v>371</v>
      </c>
      <c r="B7">
        <v>35</v>
      </c>
      <c r="C7">
        <v>-31</v>
      </c>
      <c r="D7">
        <v>5</v>
      </c>
      <c r="E7">
        <v>0</v>
      </c>
      <c r="F7">
        <v>5</v>
      </c>
      <c r="G7">
        <v>18</v>
      </c>
    </row>
    <row r="8" spans="1:8" x14ac:dyDescent="0.3">
      <c r="A8" s="4" t="s">
        <v>370</v>
      </c>
      <c r="B8">
        <v>40</v>
      </c>
      <c r="C8">
        <v>-31</v>
      </c>
      <c r="D8">
        <v>6</v>
      </c>
      <c r="E8">
        <v>0</v>
      </c>
      <c r="F8">
        <v>5</v>
      </c>
      <c r="G8">
        <v>18</v>
      </c>
    </row>
    <row r="9" spans="1:8" x14ac:dyDescent="0.3">
      <c r="A9" s="4" t="s">
        <v>369</v>
      </c>
      <c r="B9">
        <v>45</v>
      </c>
      <c r="C9">
        <v>-31</v>
      </c>
      <c r="D9">
        <v>7</v>
      </c>
      <c r="E9">
        <v>0</v>
      </c>
      <c r="F9">
        <v>5</v>
      </c>
      <c r="G9">
        <v>18</v>
      </c>
    </row>
    <row r="10" spans="1:8" x14ac:dyDescent="0.3">
      <c r="A10" s="4" t="s">
        <v>368</v>
      </c>
      <c r="B10">
        <v>50</v>
      </c>
      <c r="C10">
        <v>-31</v>
      </c>
      <c r="D10">
        <v>8</v>
      </c>
      <c r="E10">
        <v>0</v>
      </c>
      <c r="F10">
        <v>5</v>
      </c>
      <c r="G10">
        <v>18</v>
      </c>
    </row>
    <row r="11" spans="1:8" x14ac:dyDescent="0.3">
      <c r="A11" s="4" t="s">
        <v>367</v>
      </c>
      <c r="B11">
        <v>55</v>
      </c>
      <c r="C11">
        <v>-31</v>
      </c>
      <c r="D11">
        <v>9</v>
      </c>
      <c r="E11">
        <v>0</v>
      </c>
      <c r="F11">
        <v>5</v>
      </c>
      <c r="G11">
        <v>18</v>
      </c>
    </row>
    <row r="12" spans="1:8" x14ac:dyDescent="0.3">
      <c r="A12" s="4" t="s">
        <v>366</v>
      </c>
      <c r="B12">
        <v>60</v>
      </c>
      <c r="C12">
        <v>-31</v>
      </c>
      <c r="D12">
        <v>10</v>
      </c>
      <c r="E12">
        <v>0</v>
      </c>
      <c r="F12">
        <v>5</v>
      </c>
      <c r="G12">
        <v>18</v>
      </c>
    </row>
    <row r="13" spans="1:8" x14ac:dyDescent="0.3">
      <c r="A13" s="4" t="s">
        <v>365</v>
      </c>
      <c r="B13">
        <v>65</v>
      </c>
      <c r="C13">
        <v>-31</v>
      </c>
      <c r="D13">
        <v>11</v>
      </c>
      <c r="E13">
        <v>0</v>
      </c>
      <c r="F13">
        <v>5</v>
      </c>
      <c r="G13">
        <v>18</v>
      </c>
    </row>
    <row r="14" spans="1:8" x14ac:dyDescent="0.3">
      <c r="A14" s="4" t="s">
        <v>364</v>
      </c>
      <c r="B14">
        <v>70</v>
      </c>
      <c r="C14">
        <v>-31</v>
      </c>
      <c r="D14">
        <v>12</v>
      </c>
      <c r="E14">
        <v>0</v>
      </c>
      <c r="F14">
        <v>5</v>
      </c>
      <c r="G14">
        <v>18</v>
      </c>
    </row>
    <row r="15" spans="1:8" x14ac:dyDescent="0.3">
      <c r="A15" s="4" t="s">
        <v>363</v>
      </c>
      <c r="B15">
        <v>75</v>
      </c>
      <c r="C15">
        <v>-31</v>
      </c>
      <c r="D15">
        <v>13</v>
      </c>
      <c r="E15">
        <v>0</v>
      </c>
      <c r="F15">
        <v>5</v>
      </c>
      <c r="G15">
        <v>18</v>
      </c>
    </row>
    <row r="16" spans="1:8" x14ac:dyDescent="0.3">
      <c r="A16" s="4" t="s">
        <v>362</v>
      </c>
      <c r="B16">
        <v>80</v>
      </c>
      <c r="C16">
        <v>-31</v>
      </c>
      <c r="D16">
        <v>14</v>
      </c>
      <c r="E16">
        <v>0</v>
      </c>
      <c r="F16">
        <v>5</v>
      </c>
      <c r="G16">
        <v>18</v>
      </c>
    </row>
    <row r="17" spans="1:7" x14ac:dyDescent="0.3">
      <c r="A17" s="4" t="s">
        <v>361</v>
      </c>
      <c r="B17">
        <v>85</v>
      </c>
      <c r="C17">
        <v>-31</v>
      </c>
      <c r="D17">
        <v>15</v>
      </c>
      <c r="E17">
        <v>0</v>
      </c>
      <c r="F17">
        <v>5</v>
      </c>
      <c r="G17">
        <v>18</v>
      </c>
    </row>
    <row r="18" spans="1:7" x14ac:dyDescent="0.3">
      <c r="A18" s="4" t="s">
        <v>360</v>
      </c>
      <c r="B18">
        <v>90</v>
      </c>
      <c r="C18">
        <v>-31</v>
      </c>
      <c r="D18">
        <v>16</v>
      </c>
      <c r="E18">
        <v>0</v>
      </c>
      <c r="F18">
        <v>5</v>
      </c>
      <c r="G18">
        <v>18</v>
      </c>
    </row>
    <row r="19" spans="1:7" x14ac:dyDescent="0.3">
      <c r="A19" s="4" t="s">
        <v>359</v>
      </c>
      <c r="B19">
        <v>95</v>
      </c>
      <c r="C19">
        <v>-31</v>
      </c>
      <c r="D19">
        <v>17</v>
      </c>
      <c r="E19">
        <v>0</v>
      </c>
      <c r="F19">
        <v>5</v>
      </c>
      <c r="G19">
        <v>18</v>
      </c>
    </row>
    <row r="20" spans="1:7" x14ac:dyDescent="0.3">
      <c r="A20" s="4" t="s">
        <v>358</v>
      </c>
      <c r="B20">
        <v>100</v>
      </c>
      <c r="C20">
        <v>-31</v>
      </c>
      <c r="D20">
        <v>18</v>
      </c>
      <c r="E20">
        <v>0</v>
      </c>
      <c r="F20">
        <v>5</v>
      </c>
      <c r="G20">
        <v>18</v>
      </c>
    </row>
    <row r="21" spans="1:7" x14ac:dyDescent="0.3">
      <c r="A21" s="4" t="s">
        <v>357</v>
      </c>
      <c r="B21">
        <v>105</v>
      </c>
      <c r="C21">
        <v>-31</v>
      </c>
      <c r="D21">
        <v>19</v>
      </c>
      <c r="E21">
        <v>0</v>
      </c>
      <c r="F21">
        <v>5</v>
      </c>
      <c r="G21">
        <v>18</v>
      </c>
    </row>
    <row r="22" spans="1:7" x14ac:dyDescent="0.3">
      <c r="A22" s="4" t="s">
        <v>356</v>
      </c>
      <c r="B22">
        <v>110</v>
      </c>
      <c r="C22">
        <v>-31</v>
      </c>
      <c r="D22">
        <v>20</v>
      </c>
      <c r="E22">
        <v>0</v>
      </c>
      <c r="F22">
        <v>5</v>
      </c>
      <c r="G22">
        <v>18</v>
      </c>
    </row>
    <row r="23" spans="1:7" x14ac:dyDescent="0.3">
      <c r="A23" s="4" t="s">
        <v>355</v>
      </c>
      <c r="B23">
        <v>115</v>
      </c>
      <c r="C23">
        <v>-31</v>
      </c>
      <c r="D23">
        <v>21</v>
      </c>
      <c r="E23">
        <v>0</v>
      </c>
      <c r="F23">
        <v>5</v>
      </c>
      <c r="G23">
        <v>18</v>
      </c>
    </row>
    <row r="24" spans="1:7" x14ac:dyDescent="0.3">
      <c r="A24" s="4" t="s">
        <v>354</v>
      </c>
      <c r="B24">
        <v>120</v>
      </c>
      <c r="C24">
        <v>-31</v>
      </c>
      <c r="D24">
        <v>22</v>
      </c>
      <c r="E24">
        <v>0</v>
      </c>
      <c r="F24">
        <v>5</v>
      </c>
      <c r="G24">
        <v>18</v>
      </c>
    </row>
    <row r="25" spans="1:7" x14ac:dyDescent="0.3">
      <c r="A25" s="4" t="s">
        <v>353</v>
      </c>
      <c r="B25">
        <v>125</v>
      </c>
      <c r="C25">
        <v>-31</v>
      </c>
      <c r="D25">
        <v>23</v>
      </c>
      <c r="E25">
        <v>0</v>
      </c>
      <c r="F25">
        <v>5</v>
      </c>
      <c r="G25">
        <v>18</v>
      </c>
    </row>
    <row r="26" spans="1:7" x14ac:dyDescent="0.3">
      <c r="A26" s="4" t="s">
        <v>352</v>
      </c>
      <c r="B26">
        <v>130</v>
      </c>
      <c r="C26">
        <v>-31</v>
      </c>
      <c r="D26">
        <v>24</v>
      </c>
      <c r="E26">
        <v>0</v>
      </c>
      <c r="F26">
        <v>5</v>
      </c>
      <c r="G26">
        <v>18</v>
      </c>
    </row>
    <row r="27" spans="1:7" x14ac:dyDescent="0.3">
      <c r="A27" s="4" t="s">
        <v>351</v>
      </c>
      <c r="B27">
        <v>135</v>
      </c>
      <c r="C27">
        <v>-31</v>
      </c>
      <c r="D27">
        <v>25</v>
      </c>
      <c r="E27">
        <v>0</v>
      </c>
      <c r="F27">
        <v>5</v>
      </c>
      <c r="G27">
        <v>18</v>
      </c>
    </row>
    <row r="28" spans="1:7" x14ac:dyDescent="0.3">
      <c r="A28" s="4" t="s">
        <v>350</v>
      </c>
      <c r="B28">
        <v>140</v>
      </c>
      <c r="C28">
        <v>-31</v>
      </c>
      <c r="D28">
        <v>26</v>
      </c>
      <c r="E28">
        <v>0</v>
      </c>
      <c r="F28">
        <v>5</v>
      </c>
      <c r="G28">
        <v>18</v>
      </c>
    </row>
    <row r="29" spans="1:7" x14ac:dyDescent="0.3">
      <c r="A29" s="4" t="s">
        <v>349</v>
      </c>
      <c r="B29">
        <v>145</v>
      </c>
      <c r="C29">
        <v>-31</v>
      </c>
      <c r="D29">
        <v>27</v>
      </c>
      <c r="E29">
        <v>0</v>
      </c>
      <c r="F29">
        <v>5</v>
      </c>
      <c r="G29">
        <v>18</v>
      </c>
    </row>
    <row r="30" spans="1:7" x14ac:dyDescent="0.3">
      <c r="A30" s="4" t="s">
        <v>348</v>
      </c>
      <c r="B30">
        <v>150</v>
      </c>
      <c r="C30">
        <v>-31</v>
      </c>
      <c r="D30">
        <v>28</v>
      </c>
      <c r="E30">
        <v>0</v>
      </c>
      <c r="F30">
        <v>5</v>
      </c>
      <c r="G30">
        <v>18</v>
      </c>
    </row>
    <row r="31" spans="1:7" x14ac:dyDescent="0.3">
      <c r="A31" s="4" t="s">
        <v>347</v>
      </c>
      <c r="B31">
        <v>155</v>
      </c>
      <c r="C31">
        <v>-31</v>
      </c>
      <c r="D31">
        <v>29</v>
      </c>
      <c r="E31">
        <v>0</v>
      </c>
      <c r="F31">
        <v>5</v>
      </c>
      <c r="G31">
        <v>18</v>
      </c>
    </row>
    <row r="32" spans="1:7" x14ac:dyDescent="0.3">
      <c r="A32" s="4" t="s">
        <v>346</v>
      </c>
      <c r="B32">
        <v>160</v>
      </c>
      <c r="C32">
        <v>-31</v>
      </c>
      <c r="D32">
        <v>30</v>
      </c>
      <c r="E32">
        <v>0</v>
      </c>
      <c r="F32">
        <v>5</v>
      </c>
      <c r="G32">
        <v>18</v>
      </c>
    </row>
    <row r="33" spans="1:13" x14ac:dyDescent="0.3">
      <c r="A33" s="4" t="s">
        <v>377</v>
      </c>
      <c r="B33">
        <v>50</v>
      </c>
      <c r="C33">
        <v>-13</v>
      </c>
      <c r="D33">
        <v>1</v>
      </c>
      <c r="E33">
        <v>0</v>
      </c>
      <c r="F33">
        <v>3.33</v>
      </c>
      <c r="G33">
        <v>5</v>
      </c>
      <c r="H33" t="s">
        <v>344</v>
      </c>
    </row>
    <row r="34" spans="1:13" x14ac:dyDescent="0.3">
      <c r="A34" s="4" t="s">
        <v>378</v>
      </c>
      <c r="B34">
        <f>B33+F34</f>
        <v>53.33</v>
      </c>
      <c r="C34">
        <v>-13</v>
      </c>
      <c r="D34">
        <v>2</v>
      </c>
      <c r="E34">
        <v>0</v>
      </c>
      <c r="F34">
        <v>3.33</v>
      </c>
      <c r="G34">
        <v>5</v>
      </c>
      <c r="H34" t="s">
        <v>344</v>
      </c>
    </row>
    <row r="35" spans="1:13" x14ac:dyDescent="0.3">
      <c r="A35" s="4" t="s">
        <v>379</v>
      </c>
      <c r="B35">
        <f t="shared" ref="B35:B41" si="0">B34+F35</f>
        <v>56.66</v>
      </c>
      <c r="C35">
        <v>-13</v>
      </c>
      <c r="D35">
        <v>3</v>
      </c>
      <c r="E35">
        <v>0</v>
      </c>
      <c r="F35">
        <v>3.33</v>
      </c>
      <c r="G35">
        <v>5</v>
      </c>
      <c r="H35" t="s">
        <v>344</v>
      </c>
    </row>
    <row r="36" spans="1:13" x14ac:dyDescent="0.3">
      <c r="A36" s="4" t="s">
        <v>380</v>
      </c>
      <c r="B36">
        <f t="shared" si="0"/>
        <v>59.989999999999995</v>
      </c>
      <c r="C36">
        <v>-13</v>
      </c>
      <c r="D36">
        <v>4</v>
      </c>
      <c r="E36">
        <v>0</v>
      </c>
      <c r="F36">
        <v>3.33</v>
      </c>
      <c r="G36">
        <v>5</v>
      </c>
      <c r="H36" t="s">
        <v>344</v>
      </c>
    </row>
    <row r="37" spans="1:13" x14ac:dyDescent="0.3">
      <c r="A37" s="4" t="s">
        <v>381</v>
      </c>
      <c r="B37">
        <f t="shared" si="0"/>
        <v>63.319999999999993</v>
      </c>
      <c r="C37">
        <v>-13</v>
      </c>
      <c r="D37">
        <v>5</v>
      </c>
      <c r="E37">
        <v>0</v>
      </c>
      <c r="F37">
        <v>3.33</v>
      </c>
      <c r="G37">
        <v>5</v>
      </c>
      <c r="H37" t="s">
        <v>344</v>
      </c>
    </row>
    <row r="38" spans="1:13" x14ac:dyDescent="0.3">
      <c r="A38" s="4" t="s">
        <v>382</v>
      </c>
      <c r="B38">
        <f t="shared" si="0"/>
        <v>66.649999999999991</v>
      </c>
      <c r="C38">
        <v>-13</v>
      </c>
      <c r="D38">
        <v>6</v>
      </c>
      <c r="E38">
        <v>0</v>
      </c>
      <c r="F38">
        <v>3.33</v>
      </c>
      <c r="G38">
        <v>5</v>
      </c>
      <c r="H38" t="s">
        <v>344</v>
      </c>
    </row>
    <row r="39" spans="1:13" x14ac:dyDescent="0.3">
      <c r="A39" s="4" t="s">
        <v>383</v>
      </c>
      <c r="B39">
        <f t="shared" si="0"/>
        <v>69.97999999999999</v>
      </c>
      <c r="C39">
        <v>-13</v>
      </c>
      <c r="D39">
        <v>7</v>
      </c>
      <c r="E39">
        <v>0</v>
      </c>
      <c r="F39">
        <v>3.33</v>
      </c>
      <c r="G39">
        <v>5</v>
      </c>
      <c r="H39" t="s">
        <v>344</v>
      </c>
    </row>
    <row r="40" spans="1:13" x14ac:dyDescent="0.3">
      <c r="A40" s="4" t="s">
        <v>384</v>
      </c>
      <c r="B40">
        <f t="shared" si="0"/>
        <v>73.309999999999988</v>
      </c>
      <c r="C40">
        <v>-13</v>
      </c>
      <c r="D40">
        <v>8</v>
      </c>
      <c r="E40">
        <v>0</v>
      </c>
      <c r="F40">
        <v>3.33</v>
      </c>
      <c r="G40">
        <v>5</v>
      </c>
      <c r="H40" t="s">
        <v>344</v>
      </c>
      <c r="M40">
        <f>12+18</f>
        <v>30</v>
      </c>
    </row>
    <row r="41" spans="1:13" x14ac:dyDescent="0.3">
      <c r="A41" s="4" t="s">
        <v>385</v>
      </c>
      <c r="B41">
        <f t="shared" si="0"/>
        <v>76.639999999999986</v>
      </c>
      <c r="C41">
        <v>-13</v>
      </c>
      <c r="D41">
        <v>9</v>
      </c>
      <c r="E41">
        <v>0</v>
      </c>
      <c r="F41">
        <v>3.33</v>
      </c>
      <c r="G41">
        <v>5</v>
      </c>
      <c r="H41" t="s">
        <v>344</v>
      </c>
      <c r="M41">
        <f>M40/9</f>
        <v>3.3333333333333335</v>
      </c>
    </row>
    <row r="42" spans="1:13" x14ac:dyDescent="0.3">
      <c r="A42" s="4" t="s">
        <v>376</v>
      </c>
      <c r="B42">
        <v>145</v>
      </c>
      <c r="C42">
        <v>-13</v>
      </c>
      <c r="D42">
        <v>10</v>
      </c>
      <c r="E42">
        <v>0</v>
      </c>
      <c r="F42">
        <v>3</v>
      </c>
      <c r="G42">
        <v>5</v>
      </c>
      <c r="H42" t="s">
        <v>344</v>
      </c>
    </row>
    <row r="43" spans="1:13" x14ac:dyDescent="0.3">
      <c r="A43" s="4" t="s">
        <v>423</v>
      </c>
      <c r="B43">
        <v>148</v>
      </c>
      <c r="C43">
        <v>-13</v>
      </c>
      <c r="D43">
        <v>11</v>
      </c>
      <c r="E43">
        <v>0</v>
      </c>
      <c r="F43">
        <v>3</v>
      </c>
      <c r="G43">
        <v>5</v>
      </c>
      <c r="H43" t="s">
        <v>344</v>
      </c>
    </row>
    <row r="44" spans="1:13" x14ac:dyDescent="0.3">
      <c r="A44" s="4" t="s">
        <v>424</v>
      </c>
      <c r="B44">
        <v>151</v>
      </c>
      <c r="C44">
        <v>-13</v>
      </c>
      <c r="D44">
        <v>12</v>
      </c>
      <c r="E44">
        <v>0</v>
      </c>
      <c r="F44">
        <v>3</v>
      </c>
      <c r="G44">
        <v>5</v>
      </c>
      <c r="H44" t="s">
        <v>344</v>
      </c>
    </row>
    <row r="45" spans="1:13" x14ac:dyDescent="0.3">
      <c r="A45" s="4" t="s">
        <v>425</v>
      </c>
      <c r="B45">
        <v>154</v>
      </c>
      <c r="C45">
        <v>-13</v>
      </c>
      <c r="D45">
        <v>13</v>
      </c>
      <c r="E45">
        <v>0</v>
      </c>
      <c r="F45">
        <v>3</v>
      </c>
      <c r="G45">
        <v>5</v>
      </c>
      <c r="H45" t="s">
        <v>344</v>
      </c>
    </row>
    <row r="46" spans="1:13" x14ac:dyDescent="0.3">
      <c r="A46" s="4" t="s">
        <v>426</v>
      </c>
      <c r="B46">
        <v>193</v>
      </c>
      <c r="C46">
        <v>50</v>
      </c>
      <c r="D46">
        <v>14</v>
      </c>
      <c r="E46">
        <v>90</v>
      </c>
      <c r="F46">
        <v>3</v>
      </c>
      <c r="G46">
        <v>5</v>
      </c>
      <c r="H46" t="s">
        <v>344</v>
      </c>
    </row>
    <row r="47" spans="1:13" x14ac:dyDescent="0.3">
      <c r="A47" s="4" t="s">
        <v>427</v>
      </c>
      <c r="B47">
        <v>193</v>
      </c>
      <c r="C47">
        <v>53</v>
      </c>
      <c r="D47">
        <v>15</v>
      </c>
      <c r="E47">
        <v>90</v>
      </c>
      <c r="F47">
        <v>3</v>
      </c>
      <c r="G47">
        <v>5</v>
      </c>
      <c r="H47" t="s">
        <v>344</v>
      </c>
    </row>
    <row r="48" spans="1:13" x14ac:dyDescent="0.3">
      <c r="A48" s="4" t="s">
        <v>428</v>
      </c>
      <c r="B48">
        <v>193</v>
      </c>
      <c r="C48">
        <v>56</v>
      </c>
      <c r="D48">
        <v>16</v>
      </c>
      <c r="E48">
        <v>90</v>
      </c>
      <c r="F48">
        <v>3</v>
      </c>
      <c r="G48">
        <v>5</v>
      </c>
      <c r="H48" t="s">
        <v>344</v>
      </c>
    </row>
    <row r="49" spans="1:11" x14ac:dyDescent="0.3">
      <c r="A49" s="4" t="s">
        <v>429</v>
      </c>
      <c r="B49">
        <v>193</v>
      </c>
      <c r="C49">
        <v>59</v>
      </c>
      <c r="D49">
        <v>17</v>
      </c>
      <c r="E49">
        <v>90</v>
      </c>
      <c r="F49">
        <v>3</v>
      </c>
      <c r="G49">
        <v>5</v>
      </c>
      <c r="H49" t="s">
        <v>344</v>
      </c>
    </row>
    <row r="50" spans="1:11" x14ac:dyDescent="0.3">
      <c r="A50" s="4" t="s">
        <v>430</v>
      </c>
      <c r="B50">
        <v>3</v>
      </c>
      <c r="C50">
        <v>102</v>
      </c>
      <c r="D50">
        <v>18</v>
      </c>
      <c r="E50">
        <v>0</v>
      </c>
      <c r="F50">
        <v>3</v>
      </c>
      <c r="G50">
        <v>5</v>
      </c>
      <c r="H50" t="s">
        <v>344</v>
      </c>
    </row>
    <row r="51" spans="1:11" x14ac:dyDescent="0.3">
      <c r="A51" s="4" t="s">
        <v>431</v>
      </c>
      <c r="B51">
        <v>6</v>
      </c>
      <c r="C51">
        <v>102</v>
      </c>
      <c r="D51">
        <v>19</v>
      </c>
      <c r="E51">
        <v>0</v>
      </c>
      <c r="F51">
        <v>3</v>
      </c>
      <c r="G51">
        <v>5</v>
      </c>
      <c r="H51" t="s">
        <v>344</v>
      </c>
    </row>
    <row r="52" spans="1:11" x14ac:dyDescent="0.3">
      <c r="A52" s="4" t="s">
        <v>432</v>
      </c>
      <c r="B52">
        <v>9</v>
      </c>
      <c r="C52">
        <v>102</v>
      </c>
      <c r="D52">
        <v>20</v>
      </c>
      <c r="E52">
        <v>0</v>
      </c>
      <c r="F52">
        <v>3</v>
      </c>
      <c r="G52">
        <v>5</v>
      </c>
      <c r="H52" t="s">
        <v>344</v>
      </c>
    </row>
    <row r="53" spans="1:11" x14ac:dyDescent="0.3">
      <c r="A53" s="4" t="s">
        <v>386</v>
      </c>
      <c r="B53">
        <f>J53-K53</f>
        <v>32.5</v>
      </c>
      <c r="C53">
        <v>-23</v>
      </c>
      <c r="D53">
        <v>1</v>
      </c>
      <c r="E53">
        <v>180</v>
      </c>
      <c r="F53">
        <v>5</v>
      </c>
      <c r="G53">
        <v>18</v>
      </c>
      <c r="J53">
        <v>33.5</v>
      </c>
      <c r="K53">
        <v>1</v>
      </c>
    </row>
    <row r="54" spans="1:11" x14ac:dyDescent="0.3">
      <c r="A54" s="4" t="s">
        <v>387</v>
      </c>
      <c r="B54">
        <f t="shared" ref="B54:B64" si="1">J54-K54</f>
        <v>37.5</v>
      </c>
      <c r="C54">
        <v>-23</v>
      </c>
      <c r="D54">
        <v>2</v>
      </c>
      <c r="E54">
        <v>180</v>
      </c>
      <c r="F54">
        <v>5</v>
      </c>
      <c r="G54">
        <v>18</v>
      </c>
      <c r="J54">
        <v>38.5</v>
      </c>
      <c r="K54">
        <v>1</v>
      </c>
    </row>
    <row r="55" spans="1:11" x14ac:dyDescent="0.3">
      <c r="A55" s="4" t="s">
        <v>388</v>
      </c>
      <c r="B55">
        <f t="shared" si="1"/>
        <v>42.5</v>
      </c>
      <c r="C55">
        <v>-23</v>
      </c>
      <c r="D55">
        <v>3</v>
      </c>
      <c r="E55">
        <v>180</v>
      </c>
      <c r="F55">
        <v>5</v>
      </c>
      <c r="G55">
        <v>18</v>
      </c>
      <c r="J55">
        <v>43.5</v>
      </c>
      <c r="K55">
        <v>1</v>
      </c>
    </row>
    <row r="56" spans="1:11" x14ac:dyDescent="0.3">
      <c r="A56" s="4" t="s">
        <v>389</v>
      </c>
      <c r="B56">
        <f t="shared" si="1"/>
        <v>92.2</v>
      </c>
      <c r="C56">
        <v>-23</v>
      </c>
      <c r="D56">
        <v>4</v>
      </c>
      <c r="E56">
        <v>180</v>
      </c>
      <c r="F56">
        <v>5</v>
      </c>
      <c r="G56">
        <v>18</v>
      </c>
      <c r="J56">
        <v>93.2</v>
      </c>
      <c r="K56">
        <v>1</v>
      </c>
    </row>
    <row r="57" spans="1:11" x14ac:dyDescent="0.3">
      <c r="A57" s="4" t="s">
        <v>390</v>
      </c>
      <c r="B57">
        <f t="shared" si="1"/>
        <v>97.2</v>
      </c>
      <c r="C57">
        <v>-23</v>
      </c>
      <c r="D57">
        <v>5</v>
      </c>
      <c r="E57">
        <v>180</v>
      </c>
      <c r="F57">
        <v>5</v>
      </c>
      <c r="G57">
        <v>18</v>
      </c>
      <c r="J57">
        <v>98.2</v>
      </c>
      <c r="K57">
        <v>1</v>
      </c>
    </row>
    <row r="58" spans="1:11" x14ac:dyDescent="0.3">
      <c r="A58" s="4" t="s">
        <v>391</v>
      </c>
      <c r="B58">
        <f t="shared" si="1"/>
        <v>102.2</v>
      </c>
      <c r="C58">
        <v>-23</v>
      </c>
      <c r="D58">
        <v>6</v>
      </c>
      <c r="E58">
        <v>180</v>
      </c>
      <c r="F58">
        <v>5</v>
      </c>
      <c r="G58">
        <v>18</v>
      </c>
      <c r="J58">
        <v>103.2</v>
      </c>
      <c r="K58">
        <v>1</v>
      </c>
    </row>
    <row r="59" spans="1:11" x14ac:dyDescent="0.3">
      <c r="A59" s="4" t="s">
        <v>392</v>
      </c>
      <c r="B59">
        <f t="shared" si="1"/>
        <v>107.2</v>
      </c>
      <c r="C59">
        <v>-23</v>
      </c>
      <c r="D59">
        <v>7</v>
      </c>
      <c r="E59">
        <v>180</v>
      </c>
      <c r="F59">
        <v>5</v>
      </c>
      <c r="G59">
        <v>18</v>
      </c>
      <c r="J59">
        <v>108.2</v>
      </c>
      <c r="K59">
        <v>1</v>
      </c>
    </row>
    <row r="60" spans="1:11" x14ac:dyDescent="0.3">
      <c r="A60" s="4" t="s">
        <v>393</v>
      </c>
      <c r="B60">
        <f t="shared" si="1"/>
        <v>112.2</v>
      </c>
      <c r="C60">
        <v>-23</v>
      </c>
      <c r="D60">
        <v>8</v>
      </c>
      <c r="E60">
        <v>180</v>
      </c>
      <c r="F60">
        <v>5</v>
      </c>
      <c r="G60">
        <v>18</v>
      </c>
      <c r="J60">
        <v>113.2</v>
      </c>
      <c r="K60">
        <v>1</v>
      </c>
    </row>
    <row r="61" spans="1:11" x14ac:dyDescent="0.3">
      <c r="A61" s="4" t="s">
        <v>394</v>
      </c>
      <c r="B61">
        <f t="shared" si="1"/>
        <v>117.2</v>
      </c>
      <c r="C61">
        <v>-23</v>
      </c>
      <c r="D61">
        <v>9</v>
      </c>
      <c r="E61">
        <v>180</v>
      </c>
      <c r="F61">
        <v>5</v>
      </c>
      <c r="G61">
        <v>18</v>
      </c>
      <c r="J61">
        <v>118.2</v>
      </c>
      <c r="K61">
        <v>1</v>
      </c>
    </row>
    <row r="62" spans="1:11" x14ac:dyDescent="0.3">
      <c r="A62" s="4" t="s">
        <v>395</v>
      </c>
      <c r="B62">
        <f t="shared" si="1"/>
        <v>124.8</v>
      </c>
      <c r="C62">
        <v>-23</v>
      </c>
      <c r="D62">
        <v>10</v>
      </c>
      <c r="E62">
        <v>180</v>
      </c>
      <c r="F62">
        <v>5</v>
      </c>
      <c r="G62">
        <v>18</v>
      </c>
      <c r="J62">
        <v>125.8</v>
      </c>
      <c r="K62">
        <v>1</v>
      </c>
    </row>
    <row r="63" spans="1:11" x14ac:dyDescent="0.3">
      <c r="A63" s="4" t="s">
        <v>396</v>
      </c>
      <c r="B63">
        <f t="shared" si="1"/>
        <v>129.80000000000001</v>
      </c>
      <c r="C63">
        <v>-23</v>
      </c>
      <c r="D63">
        <v>11</v>
      </c>
      <c r="E63">
        <v>180</v>
      </c>
      <c r="F63">
        <v>5</v>
      </c>
      <c r="G63">
        <v>18</v>
      </c>
      <c r="J63">
        <v>130.80000000000001</v>
      </c>
      <c r="K63">
        <v>1</v>
      </c>
    </row>
    <row r="64" spans="1:11" x14ac:dyDescent="0.3">
      <c r="A64" s="4" t="s">
        <v>397</v>
      </c>
      <c r="B64">
        <f t="shared" si="1"/>
        <v>134.80000000000001</v>
      </c>
      <c r="C64">
        <v>-23</v>
      </c>
      <c r="D64">
        <v>12</v>
      </c>
      <c r="E64">
        <v>180</v>
      </c>
      <c r="F64">
        <v>5</v>
      </c>
      <c r="G64">
        <v>18</v>
      </c>
      <c r="J64">
        <v>135.80000000000001</v>
      </c>
      <c r="K64">
        <v>1</v>
      </c>
    </row>
    <row r="65" spans="1:11" x14ac:dyDescent="0.3">
      <c r="A65" s="4" t="s">
        <v>398</v>
      </c>
      <c r="B65">
        <v>180.1</v>
      </c>
      <c r="C65">
        <f>J65+K65</f>
        <v>72.5</v>
      </c>
      <c r="D65">
        <v>13</v>
      </c>
      <c r="E65">
        <v>90</v>
      </c>
      <c r="F65">
        <v>5</v>
      </c>
      <c r="G65">
        <v>18</v>
      </c>
      <c r="J65">
        <v>70</v>
      </c>
      <c r="K65">
        <v>2.5</v>
      </c>
    </row>
    <row r="66" spans="1:11" x14ac:dyDescent="0.3">
      <c r="A66" s="4" t="s">
        <v>399</v>
      </c>
      <c r="B66">
        <v>180.1</v>
      </c>
      <c r="C66">
        <f t="shared" ref="C66:C97" si="2">J66+K66</f>
        <v>77.5</v>
      </c>
      <c r="D66">
        <v>14</v>
      </c>
      <c r="E66">
        <v>90</v>
      </c>
      <c r="F66">
        <v>5</v>
      </c>
      <c r="G66">
        <v>18</v>
      </c>
      <c r="J66">
        <v>75</v>
      </c>
      <c r="K66">
        <v>2.5</v>
      </c>
    </row>
    <row r="67" spans="1:11" x14ac:dyDescent="0.3">
      <c r="A67" s="4" t="s">
        <v>400</v>
      </c>
      <c r="B67">
        <v>180.1</v>
      </c>
      <c r="C67">
        <f t="shared" si="2"/>
        <v>82.5</v>
      </c>
      <c r="D67">
        <v>15</v>
      </c>
      <c r="E67">
        <v>90</v>
      </c>
      <c r="F67">
        <v>5</v>
      </c>
      <c r="G67">
        <v>18</v>
      </c>
      <c r="J67">
        <v>80</v>
      </c>
      <c r="K67">
        <v>2.5</v>
      </c>
    </row>
    <row r="68" spans="1:11" x14ac:dyDescent="0.3">
      <c r="A68" s="4" t="s">
        <v>401</v>
      </c>
      <c r="B68">
        <v>180.1</v>
      </c>
      <c r="C68">
        <f t="shared" si="2"/>
        <v>87.5</v>
      </c>
      <c r="D68">
        <v>16</v>
      </c>
      <c r="E68">
        <v>90</v>
      </c>
      <c r="F68">
        <v>5</v>
      </c>
      <c r="G68">
        <v>18</v>
      </c>
      <c r="J68">
        <v>85</v>
      </c>
      <c r="K68">
        <v>2.5</v>
      </c>
    </row>
    <row r="69" spans="1:11" x14ac:dyDescent="0.3">
      <c r="A69" s="4" t="s">
        <v>402</v>
      </c>
      <c r="B69">
        <v>11.5</v>
      </c>
      <c r="C69">
        <v>62.5</v>
      </c>
      <c r="D69">
        <v>17</v>
      </c>
      <c r="E69">
        <v>270</v>
      </c>
      <c r="F69">
        <v>5</v>
      </c>
      <c r="G69">
        <v>18</v>
      </c>
    </row>
    <row r="70" spans="1:11" x14ac:dyDescent="0.3">
      <c r="A70" s="4" t="s">
        <v>403</v>
      </c>
      <c r="B70">
        <v>11.5</v>
      </c>
      <c r="C70">
        <v>67.5</v>
      </c>
      <c r="D70">
        <v>18</v>
      </c>
      <c r="E70">
        <v>270</v>
      </c>
      <c r="F70">
        <v>5</v>
      </c>
      <c r="G70">
        <v>18</v>
      </c>
    </row>
    <row r="71" spans="1:11" x14ac:dyDescent="0.3">
      <c r="A71" s="4" t="s">
        <v>404</v>
      </c>
      <c r="B71">
        <v>11.5</v>
      </c>
      <c r="C71">
        <v>72.5</v>
      </c>
      <c r="D71">
        <v>19</v>
      </c>
      <c r="E71">
        <v>270</v>
      </c>
      <c r="F71">
        <v>5</v>
      </c>
      <c r="G71">
        <v>18</v>
      </c>
    </row>
  </sheetData>
  <mergeCells count="1">
    <mergeCell ref="A1:H1"/>
  </mergeCells>
  <phoneticPr fontId="4" type="noConversion"/>
  <dataValidations count="1">
    <dataValidation type="list" allowBlank="1" sqref="E3:E510" xr:uid="{00000000-0002-0000-0000-000000000000}">
      <formula1>"0,90,180,270"</formula1>
    </dataValidation>
  </dataValidations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showGridLines="0" workbookViewId="0">
      <pane ySplit="2" topLeftCell="A3" activePane="bottomLeft" state="frozen"/>
      <selection pane="bottomLeft" activeCell="D5" sqref="D5"/>
    </sheetView>
  </sheetViews>
  <sheetFormatPr defaultRowHeight="14.4" x14ac:dyDescent="0.3"/>
  <cols>
    <col min="1" max="1" width="20.5546875" customWidth="1"/>
    <col min="2" max="5" width="9" customWidth="1"/>
    <col min="6" max="6" width="15" customWidth="1"/>
    <col min="7" max="7" width="12" customWidth="1"/>
  </cols>
  <sheetData>
    <row r="1" spans="1:8" ht="15.6" x14ac:dyDescent="0.3">
      <c r="A1" s="15" t="s">
        <v>52</v>
      </c>
      <c r="B1" s="16"/>
      <c r="C1" s="16"/>
      <c r="D1" s="16"/>
      <c r="E1" s="16"/>
      <c r="F1" s="16"/>
      <c r="G1" s="16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46</v>
      </c>
      <c r="G2" s="1" t="s">
        <v>6</v>
      </c>
    </row>
    <row r="3" spans="1:8" x14ac:dyDescent="0.3">
      <c r="A3" s="2" t="s">
        <v>299</v>
      </c>
      <c r="B3" s="3">
        <v>24</v>
      </c>
      <c r="C3" s="3">
        <v>-5</v>
      </c>
      <c r="D3" s="3">
        <v>50</v>
      </c>
      <c r="E3" s="3">
        <v>0</v>
      </c>
      <c r="F3" s="3">
        <v>1.5</v>
      </c>
      <c r="G3" s="5"/>
    </row>
    <row r="4" spans="1:8" x14ac:dyDescent="0.3">
      <c r="A4" s="2" t="s">
        <v>300</v>
      </c>
      <c r="B4" s="3">
        <v>80</v>
      </c>
      <c r="C4" s="3">
        <v>-5</v>
      </c>
      <c r="D4" s="3">
        <v>145</v>
      </c>
      <c r="E4" s="3">
        <v>0</v>
      </c>
      <c r="F4" s="3">
        <v>1.5</v>
      </c>
      <c r="G4" s="5"/>
    </row>
    <row r="5" spans="1:8" x14ac:dyDescent="0.3">
      <c r="A5" t="s">
        <v>337</v>
      </c>
      <c r="B5" s="4">
        <v>0</v>
      </c>
      <c r="C5" s="4">
        <v>0</v>
      </c>
      <c r="D5" s="4">
        <v>180</v>
      </c>
      <c r="E5" s="4">
        <v>50</v>
      </c>
      <c r="F5" s="3">
        <v>1.5</v>
      </c>
      <c r="G5" s="11">
        <v>404040</v>
      </c>
      <c r="H5" s="4"/>
    </row>
    <row r="6" spans="1:8" x14ac:dyDescent="0.3">
      <c r="A6" t="s">
        <v>338</v>
      </c>
      <c r="B6" s="4">
        <v>12</v>
      </c>
      <c r="C6" s="4">
        <v>50</v>
      </c>
      <c r="D6" s="4">
        <v>180</v>
      </c>
      <c r="E6" s="4">
        <v>100</v>
      </c>
      <c r="F6" s="3">
        <v>1.5</v>
      </c>
      <c r="G6" s="11">
        <v>404040</v>
      </c>
      <c r="H6" s="4"/>
    </row>
    <row r="7" spans="1:8" x14ac:dyDescent="0.3">
      <c r="B7" s="4"/>
      <c r="C7" s="4"/>
      <c r="D7" s="4"/>
      <c r="E7" s="4"/>
      <c r="F7" s="4"/>
      <c r="G7" s="4"/>
      <c r="H7" s="4"/>
    </row>
    <row r="8" spans="1:8" x14ac:dyDescent="0.3">
      <c r="B8" s="4"/>
      <c r="C8" s="4"/>
      <c r="D8" s="4"/>
      <c r="E8" s="4"/>
      <c r="F8" s="4"/>
      <c r="G8" s="4"/>
      <c r="H8" s="4"/>
    </row>
    <row r="9" spans="1:8" x14ac:dyDescent="0.3">
      <c r="B9" s="4"/>
      <c r="C9" s="4"/>
      <c r="D9" s="4"/>
      <c r="E9" s="4"/>
      <c r="F9" s="4"/>
      <c r="G9" s="4"/>
      <c r="H9" s="4"/>
    </row>
    <row r="10" spans="1:8" x14ac:dyDescent="0.3">
      <c r="B10" s="4"/>
      <c r="C10" s="4"/>
      <c r="D10" s="4"/>
      <c r="E10" s="4"/>
      <c r="F10" s="4"/>
      <c r="G10" s="4"/>
      <c r="H10" s="4"/>
    </row>
    <row r="11" spans="1:8" x14ac:dyDescent="0.3">
      <c r="B11" s="4"/>
      <c r="C11" s="4"/>
      <c r="D11" s="4"/>
      <c r="E11" s="4"/>
      <c r="F11" s="4"/>
      <c r="G11" s="4"/>
      <c r="H11" s="4"/>
    </row>
    <row r="12" spans="1:8" x14ac:dyDescent="0.3">
      <c r="B12" s="4"/>
      <c r="C12" s="4"/>
      <c r="D12" s="4"/>
      <c r="E12" s="4"/>
      <c r="F12" s="4"/>
      <c r="G12" s="4"/>
      <c r="H12" s="4"/>
    </row>
    <row r="13" spans="1:8" x14ac:dyDescent="0.3">
      <c r="B13" s="4"/>
      <c r="C13" s="4"/>
      <c r="D13" s="4"/>
      <c r="E13" s="4"/>
      <c r="F13" s="4"/>
      <c r="G13" s="4"/>
      <c r="H13" s="4"/>
    </row>
    <row r="14" spans="1:8" x14ac:dyDescent="0.3">
      <c r="B14" s="4"/>
      <c r="C14" s="4"/>
      <c r="D14" s="4"/>
      <c r="E14" s="4"/>
      <c r="F14" s="4"/>
      <c r="G14" s="4"/>
      <c r="H14" s="4"/>
    </row>
    <row r="15" spans="1:8" x14ac:dyDescent="0.3">
      <c r="B15" s="4"/>
      <c r="C15" s="4"/>
      <c r="D15" s="4"/>
      <c r="E15" s="4"/>
      <c r="F15" s="4"/>
      <c r="G15" s="4"/>
      <c r="H15" s="4"/>
    </row>
    <row r="16" spans="1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</sheetData>
  <mergeCells count="1">
    <mergeCell ref="A1:G1"/>
  </mergeCells>
  <phoneticPr fontId="4" type="noConversion"/>
  <pageMargins left="0.75" right="0.75" top="1" bottom="1" header="0.5" footer="0.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"/>
  <sheetViews>
    <sheetView workbookViewId="0">
      <pane ySplit="2" topLeftCell="A3" activePane="bottomLeft" state="frozen"/>
      <selection pane="bottomLeft" activeCell="B7" sqref="B7"/>
    </sheetView>
  </sheetViews>
  <sheetFormatPr defaultRowHeight="14.4" x14ac:dyDescent="0.3"/>
  <cols>
    <col min="1" max="1" width="12" customWidth="1"/>
    <col min="2" max="3" width="8" customWidth="1"/>
    <col min="4" max="5" width="12" customWidth="1"/>
    <col min="6" max="8" width="8" customWidth="1"/>
  </cols>
  <sheetData>
    <row r="1" spans="1:8" ht="15.6" x14ac:dyDescent="0.3">
      <c r="A1" s="15" t="s">
        <v>259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 t="s">
        <v>260</v>
      </c>
      <c r="B3" s="3">
        <v>47.9</v>
      </c>
      <c r="C3" s="3">
        <v>-18</v>
      </c>
      <c r="D3" s="2">
        <v>180</v>
      </c>
      <c r="E3" s="2"/>
      <c r="F3" s="2">
        <v>4</v>
      </c>
      <c r="G3" s="2">
        <v>13.2</v>
      </c>
      <c r="H3" s="3">
        <v>1.5</v>
      </c>
    </row>
    <row r="4" spans="1:8" x14ac:dyDescent="0.3">
      <c r="A4" s="2" t="s">
        <v>261</v>
      </c>
      <c r="B4" s="3">
        <v>82.1</v>
      </c>
      <c r="C4" s="3">
        <v>-18</v>
      </c>
      <c r="D4" s="2">
        <v>180</v>
      </c>
      <c r="E4" s="2"/>
      <c r="F4" s="2">
        <v>4</v>
      </c>
      <c r="G4" s="2">
        <v>13.2</v>
      </c>
      <c r="H4" s="3">
        <v>1.5</v>
      </c>
    </row>
    <row r="5" spans="1:8" x14ac:dyDescent="0.3">
      <c r="A5" s="2" t="s">
        <v>419</v>
      </c>
      <c r="B5" s="3">
        <v>142.80000000000001</v>
      </c>
      <c r="C5" s="3">
        <v>-18</v>
      </c>
      <c r="D5" s="2">
        <v>180</v>
      </c>
      <c r="E5" s="2"/>
      <c r="F5" s="2">
        <v>4</v>
      </c>
      <c r="G5" s="2">
        <v>13.2</v>
      </c>
      <c r="H5" s="3">
        <v>1.5</v>
      </c>
    </row>
    <row r="6" spans="1:8" x14ac:dyDescent="0.3">
      <c r="A6" s="2" t="s">
        <v>262</v>
      </c>
      <c r="B6" s="20">
        <v>194.5</v>
      </c>
      <c r="C6" s="20">
        <v>64.099999999999994</v>
      </c>
      <c r="D6" s="21">
        <v>270</v>
      </c>
      <c r="F6" s="2">
        <v>4</v>
      </c>
      <c r="G6" s="2">
        <v>15</v>
      </c>
      <c r="H6" s="20">
        <v>1.5</v>
      </c>
    </row>
    <row r="7" spans="1:8" x14ac:dyDescent="0.3">
      <c r="A7" s="2" t="s">
        <v>421</v>
      </c>
      <c r="B7" s="20">
        <v>-2.65</v>
      </c>
      <c r="C7" s="20">
        <v>82.5</v>
      </c>
      <c r="D7" s="21">
        <v>90</v>
      </c>
      <c r="F7" s="2">
        <v>4</v>
      </c>
      <c r="G7" s="2">
        <v>15</v>
      </c>
      <c r="H7" s="20">
        <v>1.5</v>
      </c>
    </row>
  </sheetData>
  <mergeCells count="1">
    <mergeCell ref="A1:H1"/>
  </mergeCells>
  <phoneticPr fontId="4" type="noConversion"/>
  <dataValidations count="1">
    <dataValidation type="list" allowBlank="1" sqref="D3:D500" xr:uid="{00000000-0002-0000-1D00-000000000000}">
      <formula1>"0,90,180,270"</formula1>
    </dataValidation>
  </dataValidations>
  <pageMargins left="0.75" right="0.75" top="1" bottom="1" header="0.5" footer="0.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BDD1-F2F9-421B-B7A2-3B863C2317D5}">
  <dimension ref="A1:G6"/>
  <sheetViews>
    <sheetView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6" width="8" customWidth="1"/>
    <col min="7" max="7" width="12" customWidth="1"/>
  </cols>
  <sheetData>
    <row r="1" spans="1:7" ht="19.95" customHeight="1" x14ac:dyDescent="0.3">
      <c r="A1" s="17" t="s">
        <v>407</v>
      </c>
      <c r="B1" s="16"/>
      <c r="C1" s="16"/>
      <c r="D1" s="16"/>
      <c r="E1" s="16"/>
      <c r="F1" s="16"/>
      <c r="G1" s="16"/>
    </row>
    <row r="2" spans="1:7" x14ac:dyDescent="0.3">
      <c r="A2" s="14" t="s">
        <v>1</v>
      </c>
      <c r="B2" s="14" t="s">
        <v>17</v>
      </c>
      <c r="C2" s="14" t="s">
        <v>18</v>
      </c>
      <c r="D2" s="14" t="s">
        <v>20</v>
      </c>
      <c r="E2" s="14" t="s">
        <v>235</v>
      </c>
      <c r="F2" s="14" t="s">
        <v>236</v>
      </c>
      <c r="G2" s="14" t="s">
        <v>6</v>
      </c>
    </row>
    <row r="3" spans="1:7" x14ac:dyDescent="0.3">
      <c r="A3" t="s">
        <v>406</v>
      </c>
      <c r="B3">
        <v>-2</v>
      </c>
      <c r="C3">
        <v>-29.5</v>
      </c>
      <c r="D3">
        <v>90</v>
      </c>
      <c r="E3">
        <v>6</v>
      </c>
      <c r="F3">
        <v>172</v>
      </c>
    </row>
    <row r="4" spans="1:7" x14ac:dyDescent="0.3">
      <c r="A4" t="s">
        <v>405</v>
      </c>
      <c r="B4">
        <v>181.25</v>
      </c>
      <c r="C4">
        <v>-23</v>
      </c>
      <c r="D4">
        <v>155</v>
      </c>
      <c r="E4">
        <v>6</v>
      </c>
      <c r="F4">
        <v>70</v>
      </c>
    </row>
    <row r="5" spans="1:7" x14ac:dyDescent="0.3">
      <c r="A5" t="s">
        <v>413</v>
      </c>
      <c r="B5">
        <v>211</v>
      </c>
      <c r="C5">
        <v>42</v>
      </c>
      <c r="D5">
        <v>180</v>
      </c>
      <c r="E5">
        <v>6</v>
      </c>
      <c r="F5">
        <v>20</v>
      </c>
    </row>
    <row r="6" spans="1:7" x14ac:dyDescent="0.3">
      <c r="A6" t="s">
        <v>414</v>
      </c>
      <c r="B6">
        <v>-8.1999999999999993</v>
      </c>
      <c r="C6">
        <v>-20</v>
      </c>
      <c r="D6">
        <v>180</v>
      </c>
      <c r="E6">
        <v>6</v>
      </c>
      <c r="F6">
        <v>70</v>
      </c>
    </row>
  </sheetData>
  <mergeCells count="1">
    <mergeCell ref="A1:G1"/>
  </mergeCells>
  <phoneticPr fontId="4" type="noConversion"/>
  <dataValidations count="1">
    <dataValidation type="list" allowBlank="1" sqref="D3:D499" xr:uid="{00000000-0002-0000-0000-000000000000}">
      <formula1>"0,90,180,270"</formula1>
    </dataValidation>
  </dataValidations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0D27-1DBF-4FAA-8685-8E8E564F4E42}">
  <dimension ref="A1:H4"/>
  <sheetViews>
    <sheetView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12" customWidth="1"/>
    <col min="2" max="3" width="8" customWidth="1"/>
    <col min="4" max="5" width="12" customWidth="1"/>
    <col min="6" max="6" width="10" customWidth="1"/>
    <col min="7" max="7" width="8" customWidth="1"/>
    <col min="8" max="8" width="12" customWidth="1"/>
  </cols>
  <sheetData>
    <row r="1" spans="1:8" ht="19.95" customHeight="1" x14ac:dyDescent="0.3">
      <c r="A1" s="18" t="s">
        <v>412</v>
      </c>
      <c r="B1" s="16"/>
      <c r="C1" s="16"/>
      <c r="D1" s="16"/>
      <c r="E1" s="16"/>
      <c r="F1" s="16"/>
      <c r="G1" s="16"/>
      <c r="H1" s="16"/>
    </row>
    <row r="2" spans="1:8" x14ac:dyDescent="0.3">
      <c r="A2" s="13" t="s">
        <v>1</v>
      </c>
      <c r="B2" s="13" t="s">
        <v>17</v>
      </c>
      <c r="C2" s="13" t="s">
        <v>18</v>
      </c>
      <c r="D2" s="13" t="s">
        <v>20</v>
      </c>
      <c r="E2" s="13" t="s">
        <v>411</v>
      </c>
      <c r="F2" s="13" t="s">
        <v>410</v>
      </c>
      <c r="G2" s="13" t="s">
        <v>235</v>
      </c>
      <c r="H2" s="13" t="s">
        <v>6</v>
      </c>
    </row>
    <row r="3" spans="1:8" x14ac:dyDescent="0.3">
      <c r="A3" t="s">
        <v>409</v>
      </c>
      <c r="B3">
        <v>170</v>
      </c>
      <c r="C3">
        <v>-26.5</v>
      </c>
      <c r="D3">
        <v>90</v>
      </c>
      <c r="E3">
        <v>10</v>
      </c>
      <c r="F3">
        <v>-60</v>
      </c>
      <c r="G3">
        <v>6</v>
      </c>
    </row>
    <row r="4" spans="1:8" x14ac:dyDescent="0.3">
      <c r="A4" t="s">
        <v>408</v>
      </c>
      <c r="B4">
        <v>-2</v>
      </c>
      <c r="C4">
        <v>-26.5</v>
      </c>
      <c r="D4">
        <v>270</v>
      </c>
      <c r="E4">
        <v>10</v>
      </c>
      <c r="F4">
        <v>72</v>
      </c>
      <c r="G4">
        <v>6</v>
      </c>
    </row>
  </sheetData>
  <mergeCells count="1">
    <mergeCell ref="A1:H1"/>
  </mergeCells>
  <phoneticPr fontId="4" type="noConversion"/>
  <pageMargins left="0.75" right="0.75" top="1" bottom="1" header="0.5" footer="0.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2" topLeftCell="A3" activePane="bottomLeft" state="frozen"/>
      <selection pane="bottomLeft" activeCell="H10" sqref="H10"/>
    </sheetView>
  </sheetViews>
  <sheetFormatPr defaultRowHeight="14.4" x14ac:dyDescent="0.3"/>
  <cols>
    <col min="1" max="1" width="10" customWidth="1"/>
    <col min="2" max="5" width="9" customWidth="1"/>
    <col min="6" max="6" width="14" customWidth="1"/>
    <col min="7" max="8" width="12" customWidth="1"/>
  </cols>
  <sheetData>
    <row r="1" spans="1:8" ht="15.6" x14ac:dyDescent="0.3">
      <c r="A1" s="15" t="s">
        <v>40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23</v>
      </c>
      <c r="G2" s="1" t="s">
        <v>24</v>
      </c>
      <c r="H2" s="1" t="s">
        <v>6</v>
      </c>
    </row>
    <row r="3" spans="1:8" x14ac:dyDescent="0.3">
      <c r="A3" s="2" t="s">
        <v>41</v>
      </c>
      <c r="B3" s="3">
        <v>50</v>
      </c>
      <c r="C3" s="3">
        <v>-12</v>
      </c>
      <c r="D3" s="3">
        <v>62</v>
      </c>
      <c r="E3" s="3">
        <v>0</v>
      </c>
      <c r="F3" s="3">
        <v>6</v>
      </c>
      <c r="G3" s="2" t="s">
        <v>26</v>
      </c>
      <c r="H3" s="2" t="s">
        <v>27</v>
      </c>
    </row>
    <row r="4" spans="1:8" x14ac:dyDescent="0.3">
      <c r="A4" s="2" t="s">
        <v>42</v>
      </c>
      <c r="B4" s="3">
        <v>62</v>
      </c>
      <c r="C4" s="3">
        <v>-12</v>
      </c>
      <c r="D4" s="3">
        <v>80</v>
      </c>
      <c r="E4" s="3">
        <v>0</v>
      </c>
      <c r="F4" s="3">
        <v>6</v>
      </c>
      <c r="G4" s="2" t="s">
        <v>26</v>
      </c>
      <c r="H4" s="2" t="s">
        <v>27</v>
      </c>
    </row>
    <row r="5" spans="1:8" x14ac:dyDescent="0.3">
      <c r="A5" s="2" t="s">
        <v>43</v>
      </c>
      <c r="B5" s="3">
        <v>140</v>
      </c>
      <c r="C5" s="3">
        <v>-12</v>
      </c>
      <c r="D5" s="3">
        <v>150</v>
      </c>
      <c r="E5" s="3">
        <v>0</v>
      </c>
      <c r="F5" s="3">
        <v>6</v>
      </c>
      <c r="G5" s="2" t="s">
        <v>26</v>
      </c>
      <c r="H5" s="2" t="s">
        <v>27</v>
      </c>
    </row>
  </sheetData>
  <mergeCells count="1">
    <mergeCell ref="A1:H1"/>
  </mergeCells>
  <dataValidations count="1">
    <dataValidation type="list" allowBlank="1" sqref="G3:G500" xr:uid="{00000000-0002-0000-0500-000000000000}">
      <formula1>"opaque,transparent"</formula1>
    </dataValidation>
  </dataValidations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70"/>
  <sheetViews>
    <sheetView workbookViewId="0">
      <pane ySplit="2" topLeftCell="A54" activePane="bottomLeft" state="frozen"/>
      <selection pane="bottomLeft" activeCell="M3" sqref="M3:M70"/>
    </sheetView>
  </sheetViews>
  <sheetFormatPr defaultRowHeight="14.4" x14ac:dyDescent="0.3"/>
  <cols>
    <col min="1" max="1" width="10" customWidth="1"/>
    <col min="2" max="3" width="8" customWidth="1"/>
    <col min="4" max="4" width="7" customWidth="1"/>
    <col min="5" max="5" width="14" customWidth="1"/>
    <col min="6" max="6" width="8" customWidth="1"/>
    <col min="7" max="7" width="14" customWidth="1"/>
    <col min="8" max="9" width="12" customWidth="1"/>
    <col min="10" max="10" width="20" customWidth="1"/>
  </cols>
  <sheetData>
    <row r="1" spans="1:13" ht="15.6" x14ac:dyDescent="0.3">
      <c r="A1" s="15" t="s">
        <v>91</v>
      </c>
      <c r="B1" s="16"/>
      <c r="C1" s="16"/>
      <c r="D1" s="16"/>
      <c r="E1" s="16"/>
      <c r="F1" s="16"/>
      <c r="G1" s="16"/>
      <c r="H1" s="16"/>
      <c r="I1" s="16"/>
      <c r="J1" s="16"/>
    </row>
    <row r="2" spans="1:13" x14ac:dyDescent="0.3">
      <c r="A2" s="1" t="s">
        <v>1</v>
      </c>
      <c r="B2" s="1" t="s">
        <v>17</v>
      </c>
      <c r="C2" s="1" t="s">
        <v>18</v>
      </c>
      <c r="D2" s="1" t="s">
        <v>92</v>
      </c>
      <c r="E2" s="1" t="s">
        <v>93</v>
      </c>
      <c r="F2" s="1" t="s">
        <v>48</v>
      </c>
      <c r="G2" s="1" t="s">
        <v>94</v>
      </c>
      <c r="H2" s="1" t="s">
        <v>20</v>
      </c>
      <c r="I2" s="1" t="s">
        <v>6</v>
      </c>
      <c r="J2" s="1" t="s">
        <v>95</v>
      </c>
    </row>
    <row r="3" spans="1:13" x14ac:dyDescent="0.3">
      <c r="A3" s="2" t="s">
        <v>96</v>
      </c>
      <c r="B3" s="3">
        <f>L3+M3</f>
        <v>18</v>
      </c>
      <c r="C3" s="3">
        <v>50</v>
      </c>
      <c r="D3" s="3">
        <v>13</v>
      </c>
      <c r="E3" s="3">
        <v>2</v>
      </c>
      <c r="F3" s="3">
        <v>6</v>
      </c>
      <c r="G3" s="3">
        <v>8</v>
      </c>
      <c r="H3" s="3">
        <v>90</v>
      </c>
      <c r="I3" s="2" t="s">
        <v>97</v>
      </c>
      <c r="J3" s="2" t="s">
        <v>98</v>
      </c>
      <c r="L3" s="3">
        <v>9</v>
      </c>
      <c r="M3">
        <v>9</v>
      </c>
    </row>
    <row r="4" spans="1:13" x14ac:dyDescent="0.3">
      <c r="A4" s="2" t="s">
        <v>99</v>
      </c>
      <c r="B4" s="3">
        <f t="shared" ref="B4:B67" si="0">L4+M4</f>
        <v>21.4</v>
      </c>
      <c r="C4" s="3">
        <v>47</v>
      </c>
      <c r="D4" s="3">
        <v>14</v>
      </c>
      <c r="E4" s="3">
        <v>2</v>
      </c>
      <c r="F4" s="3">
        <v>6</v>
      </c>
      <c r="G4" s="3">
        <v>8</v>
      </c>
      <c r="H4" s="3">
        <v>90</v>
      </c>
      <c r="I4" s="2" t="s">
        <v>97</v>
      </c>
      <c r="J4" s="2" t="s">
        <v>98</v>
      </c>
      <c r="L4" s="3">
        <v>12.4</v>
      </c>
      <c r="M4">
        <v>9</v>
      </c>
    </row>
    <row r="5" spans="1:13" x14ac:dyDescent="0.3">
      <c r="A5" s="2" t="s">
        <v>100</v>
      </c>
      <c r="B5" s="3">
        <f t="shared" si="0"/>
        <v>22.7</v>
      </c>
      <c r="C5" s="3">
        <v>47</v>
      </c>
      <c r="D5" s="3">
        <v>14</v>
      </c>
      <c r="E5" s="3">
        <v>2</v>
      </c>
      <c r="F5" s="3">
        <v>6</v>
      </c>
      <c r="G5" s="3">
        <v>8</v>
      </c>
      <c r="H5" s="3">
        <v>90</v>
      </c>
      <c r="I5" s="2" t="s">
        <v>97</v>
      </c>
      <c r="J5" s="2" t="s">
        <v>98</v>
      </c>
      <c r="L5" s="3">
        <v>13.7</v>
      </c>
      <c r="M5">
        <v>9</v>
      </c>
    </row>
    <row r="6" spans="1:13" x14ac:dyDescent="0.3">
      <c r="A6" s="2" t="s">
        <v>101</v>
      </c>
      <c r="B6" s="3">
        <f t="shared" si="0"/>
        <v>26.1</v>
      </c>
      <c r="C6" s="3">
        <v>47</v>
      </c>
      <c r="D6" s="3">
        <v>14</v>
      </c>
      <c r="E6" s="3">
        <v>2</v>
      </c>
      <c r="F6" s="3">
        <v>6</v>
      </c>
      <c r="G6" s="3">
        <v>8</v>
      </c>
      <c r="H6" s="3">
        <v>90</v>
      </c>
      <c r="I6" s="2" t="s">
        <v>97</v>
      </c>
      <c r="J6" s="2" t="s">
        <v>98</v>
      </c>
      <c r="L6" s="3">
        <v>17.100000000000001</v>
      </c>
      <c r="M6">
        <v>9</v>
      </c>
    </row>
    <row r="7" spans="1:13" x14ac:dyDescent="0.3">
      <c r="A7" s="2" t="s">
        <v>102</v>
      </c>
      <c r="B7" s="3">
        <f t="shared" si="0"/>
        <v>27.4</v>
      </c>
      <c r="C7" s="3">
        <v>47</v>
      </c>
      <c r="D7" s="3">
        <v>14</v>
      </c>
      <c r="E7" s="3">
        <v>2</v>
      </c>
      <c r="F7" s="3">
        <v>6</v>
      </c>
      <c r="G7" s="3">
        <v>8</v>
      </c>
      <c r="H7" s="3">
        <v>90</v>
      </c>
      <c r="I7" s="2" t="s">
        <v>97</v>
      </c>
      <c r="J7" s="2" t="s">
        <v>98</v>
      </c>
      <c r="L7" s="3">
        <v>18.399999999999999</v>
      </c>
      <c r="M7">
        <v>9</v>
      </c>
    </row>
    <row r="8" spans="1:13" x14ac:dyDescent="0.3">
      <c r="A8" s="2" t="s">
        <v>103</v>
      </c>
      <c r="B8" s="3">
        <f t="shared" si="0"/>
        <v>30.8</v>
      </c>
      <c r="C8" s="3">
        <v>47</v>
      </c>
      <c r="D8" s="3">
        <v>14</v>
      </c>
      <c r="E8" s="3">
        <v>2</v>
      </c>
      <c r="F8" s="3">
        <v>6</v>
      </c>
      <c r="G8" s="3">
        <v>8</v>
      </c>
      <c r="H8" s="3">
        <v>90</v>
      </c>
      <c r="I8" s="2" t="s">
        <v>97</v>
      </c>
      <c r="J8" s="2" t="s">
        <v>98</v>
      </c>
      <c r="L8" s="3">
        <v>21.8</v>
      </c>
      <c r="M8">
        <v>9</v>
      </c>
    </row>
    <row r="9" spans="1:13" x14ac:dyDescent="0.3">
      <c r="A9" s="2" t="s">
        <v>104</v>
      </c>
      <c r="B9" s="3">
        <f t="shared" si="0"/>
        <v>32.1</v>
      </c>
      <c r="C9" s="3">
        <v>47</v>
      </c>
      <c r="D9" s="3">
        <v>14</v>
      </c>
      <c r="E9" s="3">
        <v>2</v>
      </c>
      <c r="F9" s="3">
        <v>6</v>
      </c>
      <c r="G9" s="3">
        <v>8</v>
      </c>
      <c r="H9" s="3">
        <v>90</v>
      </c>
      <c r="I9" s="2" t="s">
        <v>97</v>
      </c>
      <c r="J9" s="2" t="s">
        <v>98</v>
      </c>
      <c r="L9" s="3">
        <v>23.1</v>
      </c>
      <c r="M9">
        <v>9</v>
      </c>
    </row>
    <row r="10" spans="1:13" x14ac:dyDescent="0.3">
      <c r="A10" s="2" t="s">
        <v>105</v>
      </c>
      <c r="B10" s="3">
        <f t="shared" si="0"/>
        <v>35.5</v>
      </c>
      <c r="C10" s="3">
        <v>47</v>
      </c>
      <c r="D10" s="3">
        <v>14</v>
      </c>
      <c r="E10" s="3">
        <v>2</v>
      </c>
      <c r="F10" s="3">
        <v>6</v>
      </c>
      <c r="G10" s="3">
        <v>8</v>
      </c>
      <c r="H10" s="3">
        <v>90</v>
      </c>
      <c r="I10" s="2" t="s">
        <v>97</v>
      </c>
      <c r="J10" s="2" t="s">
        <v>98</v>
      </c>
      <c r="L10" s="3">
        <v>26.5</v>
      </c>
      <c r="M10">
        <v>9</v>
      </c>
    </row>
    <row r="11" spans="1:13" x14ac:dyDescent="0.3">
      <c r="A11" s="2" t="s">
        <v>106</v>
      </c>
      <c r="B11" s="3">
        <f t="shared" si="0"/>
        <v>36.799999999999997</v>
      </c>
      <c r="C11" s="3">
        <v>47</v>
      </c>
      <c r="D11" s="3">
        <v>14</v>
      </c>
      <c r="E11" s="3">
        <v>2</v>
      </c>
      <c r="F11" s="3">
        <v>6</v>
      </c>
      <c r="G11" s="3">
        <v>8</v>
      </c>
      <c r="H11" s="3">
        <v>90</v>
      </c>
      <c r="I11" s="2" t="s">
        <v>97</v>
      </c>
      <c r="J11" s="2" t="s">
        <v>98</v>
      </c>
      <c r="L11" s="3">
        <v>27.8</v>
      </c>
      <c r="M11">
        <v>9</v>
      </c>
    </row>
    <row r="12" spans="1:13" x14ac:dyDescent="0.3">
      <c r="A12" s="2" t="s">
        <v>107</v>
      </c>
      <c r="B12" s="3">
        <f t="shared" si="0"/>
        <v>40.200000000000003</v>
      </c>
      <c r="C12" s="3">
        <v>47</v>
      </c>
      <c r="D12" s="3">
        <v>14</v>
      </c>
      <c r="E12" s="3">
        <v>2</v>
      </c>
      <c r="F12" s="3">
        <v>6</v>
      </c>
      <c r="G12" s="3">
        <v>8</v>
      </c>
      <c r="H12" s="3">
        <v>90</v>
      </c>
      <c r="I12" s="2" t="s">
        <v>97</v>
      </c>
      <c r="J12" s="2" t="s">
        <v>98</v>
      </c>
      <c r="L12" s="3">
        <v>31.2</v>
      </c>
      <c r="M12">
        <v>9</v>
      </c>
    </row>
    <row r="13" spans="1:13" x14ac:dyDescent="0.3">
      <c r="A13" s="2" t="s">
        <v>108</v>
      </c>
      <c r="B13" s="3">
        <f t="shared" si="0"/>
        <v>41.5</v>
      </c>
      <c r="C13" s="3">
        <v>47</v>
      </c>
      <c r="D13" s="3">
        <v>14</v>
      </c>
      <c r="E13" s="3">
        <v>2</v>
      </c>
      <c r="F13" s="3">
        <v>6</v>
      </c>
      <c r="G13" s="3">
        <v>8</v>
      </c>
      <c r="H13" s="3">
        <v>90</v>
      </c>
      <c r="I13" s="2" t="s">
        <v>97</v>
      </c>
      <c r="J13" s="2" t="s">
        <v>98</v>
      </c>
      <c r="L13" s="3">
        <v>32.5</v>
      </c>
      <c r="M13">
        <v>9</v>
      </c>
    </row>
    <row r="14" spans="1:13" x14ac:dyDescent="0.3">
      <c r="A14" s="2" t="s">
        <v>109</v>
      </c>
      <c r="B14" s="3">
        <f t="shared" si="0"/>
        <v>44.9</v>
      </c>
      <c r="C14" s="3">
        <v>47</v>
      </c>
      <c r="D14" s="3">
        <v>14</v>
      </c>
      <c r="E14" s="3">
        <v>2</v>
      </c>
      <c r="F14" s="3">
        <v>6</v>
      </c>
      <c r="G14" s="3">
        <v>8</v>
      </c>
      <c r="H14" s="3">
        <v>90</v>
      </c>
      <c r="I14" s="2" t="s">
        <v>97</v>
      </c>
      <c r="J14" s="2" t="s">
        <v>98</v>
      </c>
      <c r="L14" s="3">
        <v>35.9</v>
      </c>
      <c r="M14">
        <v>9</v>
      </c>
    </row>
    <row r="15" spans="1:13" x14ac:dyDescent="0.3">
      <c r="A15" s="2" t="s">
        <v>110</v>
      </c>
      <c r="B15" s="3">
        <f t="shared" si="0"/>
        <v>46.2</v>
      </c>
      <c r="C15" s="3">
        <v>47</v>
      </c>
      <c r="D15" s="3">
        <v>14</v>
      </c>
      <c r="E15" s="3">
        <v>2</v>
      </c>
      <c r="F15" s="3">
        <v>6</v>
      </c>
      <c r="G15" s="3">
        <v>8</v>
      </c>
      <c r="H15" s="3">
        <v>90</v>
      </c>
      <c r="I15" s="2" t="s">
        <v>97</v>
      </c>
      <c r="J15" s="2" t="s">
        <v>98</v>
      </c>
      <c r="L15" s="3">
        <v>37.200000000000003</v>
      </c>
      <c r="M15">
        <v>9</v>
      </c>
    </row>
    <row r="16" spans="1:13" x14ac:dyDescent="0.3">
      <c r="A16" s="2" t="s">
        <v>111</v>
      </c>
      <c r="B16" s="3">
        <f t="shared" si="0"/>
        <v>59</v>
      </c>
      <c r="C16" s="3">
        <v>7</v>
      </c>
      <c r="D16" s="3">
        <v>11</v>
      </c>
      <c r="E16" s="3">
        <v>2</v>
      </c>
      <c r="F16" s="3">
        <v>6</v>
      </c>
      <c r="G16" s="3">
        <v>8</v>
      </c>
      <c r="H16" s="3">
        <v>90</v>
      </c>
      <c r="I16" s="2" t="s">
        <v>97</v>
      </c>
      <c r="J16" s="2" t="s">
        <v>98</v>
      </c>
      <c r="L16" s="3">
        <v>50</v>
      </c>
      <c r="M16">
        <v>9</v>
      </c>
    </row>
    <row r="17" spans="1:13" x14ac:dyDescent="0.3">
      <c r="A17" s="2" t="s">
        <v>112</v>
      </c>
      <c r="B17" s="3">
        <f t="shared" si="0"/>
        <v>60.3</v>
      </c>
      <c r="C17" s="3">
        <v>7</v>
      </c>
      <c r="D17" s="3">
        <v>11</v>
      </c>
      <c r="E17" s="3">
        <v>2</v>
      </c>
      <c r="F17" s="3">
        <v>6</v>
      </c>
      <c r="G17" s="3">
        <v>8</v>
      </c>
      <c r="H17" s="3">
        <v>90</v>
      </c>
      <c r="I17" s="2" t="s">
        <v>97</v>
      </c>
      <c r="J17" s="2" t="s">
        <v>98</v>
      </c>
      <c r="L17" s="3">
        <v>51.3</v>
      </c>
      <c r="M17">
        <v>9</v>
      </c>
    </row>
    <row r="18" spans="1:13" x14ac:dyDescent="0.3">
      <c r="A18" s="2" t="s">
        <v>113</v>
      </c>
      <c r="B18" s="3">
        <f t="shared" si="0"/>
        <v>63.7</v>
      </c>
      <c r="C18" s="3">
        <v>7</v>
      </c>
      <c r="D18" s="3">
        <v>11</v>
      </c>
      <c r="E18" s="3">
        <v>2</v>
      </c>
      <c r="F18" s="3">
        <v>6</v>
      </c>
      <c r="G18" s="3">
        <v>8</v>
      </c>
      <c r="H18" s="3">
        <v>90</v>
      </c>
      <c r="I18" s="2" t="s">
        <v>97</v>
      </c>
      <c r="J18" s="2" t="s">
        <v>98</v>
      </c>
      <c r="L18" s="3">
        <v>54.7</v>
      </c>
      <c r="M18">
        <v>9</v>
      </c>
    </row>
    <row r="19" spans="1:13" x14ac:dyDescent="0.3">
      <c r="A19" s="2" t="s">
        <v>114</v>
      </c>
      <c r="B19" s="3">
        <f t="shared" si="0"/>
        <v>65</v>
      </c>
      <c r="C19" s="3">
        <v>7</v>
      </c>
      <c r="D19" s="3">
        <v>11</v>
      </c>
      <c r="E19" s="3">
        <v>2</v>
      </c>
      <c r="F19" s="3">
        <v>6</v>
      </c>
      <c r="G19" s="3">
        <v>8</v>
      </c>
      <c r="H19" s="3">
        <v>90</v>
      </c>
      <c r="I19" s="2" t="s">
        <v>97</v>
      </c>
      <c r="J19" s="2" t="s">
        <v>98</v>
      </c>
      <c r="L19" s="3">
        <v>55.999999999999993</v>
      </c>
      <c r="M19">
        <v>9</v>
      </c>
    </row>
    <row r="20" spans="1:13" x14ac:dyDescent="0.3">
      <c r="A20" s="2" t="s">
        <v>115</v>
      </c>
      <c r="B20" s="3">
        <f t="shared" si="0"/>
        <v>68.399999999999991</v>
      </c>
      <c r="C20" s="3">
        <v>7</v>
      </c>
      <c r="D20" s="3">
        <v>11</v>
      </c>
      <c r="E20" s="3">
        <v>2</v>
      </c>
      <c r="F20" s="3">
        <v>6</v>
      </c>
      <c r="G20" s="3">
        <v>8</v>
      </c>
      <c r="H20" s="3">
        <v>90</v>
      </c>
      <c r="I20" s="2" t="s">
        <v>97</v>
      </c>
      <c r="J20" s="2" t="s">
        <v>98</v>
      </c>
      <c r="L20" s="3">
        <v>59.399999999999991</v>
      </c>
      <c r="M20">
        <v>9</v>
      </c>
    </row>
    <row r="21" spans="1:13" x14ac:dyDescent="0.3">
      <c r="A21" s="2" t="s">
        <v>116</v>
      </c>
      <c r="B21" s="3">
        <f t="shared" si="0"/>
        <v>69.699999999999989</v>
      </c>
      <c r="C21" s="3">
        <v>7</v>
      </c>
      <c r="D21" s="3">
        <v>11</v>
      </c>
      <c r="E21" s="3">
        <v>2</v>
      </c>
      <c r="F21" s="3">
        <v>6</v>
      </c>
      <c r="G21" s="3">
        <v>8</v>
      </c>
      <c r="H21" s="3">
        <v>90</v>
      </c>
      <c r="I21" s="2" t="s">
        <v>97</v>
      </c>
      <c r="J21" s="2" t="s">
        <v>98</v>
      </c>
      <c r="L21" s="3">
        <v>60.699999999999989</v>
      </c>
      <c r="M21">
        <v>9</v>
      </c>
    </row>
    <row r="22" spans="1:13" x14ac:dyDescent="0.3">
      <c r="A22" s="2" t="s">
        <v>117</v>
      </c>
      <c r="B22" s="3">
        <f t="shared" si="0"/>
        <v>73.099999999999994</v>
      </c>
      <c r="C22" s="3">
        <v>7</v>
      </c>
      <c r="D22" s="3">
        <v>11</v>
      </c>
      <c r="E22" s="3">
        <v>2</v>
      </c>
      <c r="F22" s="3">
        <v>6</v>
      </c>
      <c r="G22" s="3">
        <v>8</v>
      </c>
      <c r="H22" s="3">
        <v>90</v>
      </c>
      <c r="I22" s="2" t="s">
        <v>97</v>
      </c>
      <c r="J22" s="2" t="s">
        <v>98</v>
      </c>
      <c r="L22" s="3">
        <v>64.099999999999994</v>
      </c>
      <c r="M22">
        <v>9</v>
      </c>
    </row>
    <row r="23" spans="1:13" x14ac:dyDescent="0.3">
      <c r="A23" s="2" t="s">
        <v>118</v>
      </c>
      <c r="B23" s="3">
        <f t="shared" si="0"/>
        <v>74.399999999999991</v>
      </c>
      <c r="C23" s="3">
        <v>7</v>
      </c>
      <c r="D23" s="3">
        <v>11</v>
      </c>
      <c r="E23" s="3">
        <v>2</v>
      </c>
      <c r="F23" s="3">
        <v>6</v>
      </c>
      <c r="G23" s="3">
        <v>8</v>
      </c>
      <c r="H23" s="3">
        <v>90</v>
      </c>
      <c r="I23" s="2" t="s">
        <v>97</v>
      </c>
      <c r="J23" s="2" t="s">
        <v>98</v>
      </c>
      <c r="L23" s="3">
        <v>65.399999999999991</v>
      </c>
      <c r="M23">
        <v>9</v>
      </c>
    </row>
    <row r="24" spans="1:13" x14ac:dyDescent="0.3">
      <c r="A24" s="2" t="s">
        <v>119</v>
      </c>
      <c r="B24" s="3">
        <f t="shared" si="0"/>
        <v>77.8</v>
      </c>
      <c r="C24" s="3">
        <v>7</v>
      </c>
      <c r="D24" s="3">
        <v>11</v>
      </c>
      <c r="E24" s="3">
        <v>2</v>
      </c>
      <c r="F24" s="3">
        <v>6</v>
      </c>
      <c r="G24" s="3">
        <v>8</v>
      </c>
      <c r="H24" s="3">
        <v>90</v>
      </c>
      <c r="I24" s="2" t="s">
        <v>97</v>
      </c>
      <c r="J24" s="2" t="s">
        <v>98</v>
      </c>
      <c r="L24" s="3">
        <v>68.8</v>
      </c>
      <c r="M24">
        <v>9</v>
      </c>
    </row>
    <row r="25" spans="1:13" x14ac:dyDescent="0.3">
      <c r="A25" s="2" t="s">
        <v>120</v>
      </c>
      <c r="B25" s="3">
        <f t="shared" si="0"/>
        <v>79.099999999999994</v>
      </c>
      <c r="C25" s="3">
        <v>7</v>
      </c>
      <c r="D25" s="3">
        <v>11</v>
      </c>
      <c r="E25" s="3">
        <v>2</v>
      </c>
      <c r="F25" s="3">
        <v>6</v>
      </c>
      <c r="G25" s="3">
        <v>8</v>
      </c>
      <c r="H25" s="3">
        <v>90</v>
      </c>
      <c r="I25" s="2" t="s">
        <v>97</v>
      </c>
      <c r="J25" s="2" t="s">
        <v>98</v>
      </c>
      <c r="L25" s="3">
        <v>70.099999999999994</v>
      </c>
      <c r="M25">
        <v>9</v>
      </c>
    </row>
    <row r="26" spans="1:13" x14ac:dyDescent="0.3">
      <c r="A26" s="2" t="s">
        <v>121</v>
      </c>
      <c r="B26" s="3">
        <f t="shared" si="0"/>
        <v>82.5</v>
      </c>
      <c r="C26" s="3">
        <v>7</v>
      </c>
      <c r="D26" s="3">
        <v>11</v>
      </c>
      <c r="E26" s="3">
        <v>2</v>
      </c>
      <c r="F26" s="3">
        <v>6</v>
      </c>
      <c r="G26" s="3">
        <v>8</v>
      </c>
      <c r="H26" s="3">
        <v>90</v>
      </c>
      <c r="I26" s="2" t="s">
        <v>97</v>
      </c>
      <c r="J26" s="2" t="s">
        <v>98</v>
      </c>
      <c r="L26" s="3">
        <v>73.5</v>
      </c>
      <c r="M26">
        <v>9</v>
      </c>
    </row>
    <row r="27" spans="1:13" x14ac:dyDescent="0.3">
      <c r="A27" s="2" t="s">
        <v>122</v>
      </c>
      <c r="B27" s="3">
        <f t="shared" si="0"/>
        <v>83.8</v>
      </c>
      <c r="C27" s="3">
        <v>7</v>
      </c>
      <c r="D27" s="3">
        <v>11</v>
      </c>
      <c r="E27" s="3">
        <v>2</v>
      </c>
      <c r="F27" s="3">
        <v>6</v>
      </c>
      <c r="G27" s="3">
        <v>8</v>
      </c>
      <c r="H27" s="3">
        <v>90</v>
      </c>
      <c r="I27" s="2" t="s">
        <v>97</v>
      </c>
      <c r="J27" s="2" t="s">
        <v>98</v>
      </c>
      <c r="L27" s="3">
        <v>74.8</v>
      </c>
      <c r="M27">
        <v>9</v>
      </c>
    </row>
    <row r="28" spans="1:13" x14ac:dyDescent="0.3">
      <c r="A28" s="2" t="s">
        <v>123</v>
      </c>
      <c r="B28" s="3">
        <f t="shared" si="0"/>
        <v>49.599999999999987</v>
      </c>
      <c r="C28" s="3">
        <v>47</v>
      </c>
      <c r="D28" s="3">
        <v>14</v>
      </c>
      <c r="E28" s="3">
        <v>2</v>
      </c>
      <c r="F28" s="3">
        <v>6</v>
      </c>
      <c r="G28" s="3">
        <v>8</v>
      </c>
      <c r="H28" s="3">
        <v>90</v>
      </c>
      <c r="I28" s="2" t="s">
        <v>97</v>
      </c>
      <c r="J28" s="2" t="s">
        <v>98</v>
      </c>
      <c r="L28" s="3">
        <v>40.599999999999987</v>
      </c>
      <c r="M28">
        <v>9</v>
      </c>
    </row>
    <row r="29" spans="1:13" x14ac:dyDescent="0.3">
      <c r="A29" s="2" t="s">
        <v>124</v>
      </c>
      <c r="B29" s="3">
        <f t="shared" si="0"/>
        <v>50.899999999999991</v>
      </c>
      <c r="C29" s="3">
        <v>47</v>
      </c>
      <c r="D29" s="3">
        <v>14</v>
      </c>
      <c r="E29" s="3">
        <v>2</v>
      </c>
      <c r="F29" s="3">
        <v>6</v>
      </c>
      <c r="G29" s="3">
        <v>8</v>
      </c>
      <c r="H29" s="3">
        <v>90</v>
      </c>
      <c r="I29" s="2" t="s">
        <v>97</v>
      </c>
      <c r="J29" s="2" t="s">
        <v>98</v>
      </c>
      <c r="L29" s="3">
        <v>41.899999999999991</v>
      </c>
      <c r="M29">
        <v>9</v>
      </c>
    </row>
    <row r="30" spans="1:13" x14ac:dyDescent="0.3">
      <c r="A30" s="2" t="s">
        <v>125</v>
      </c>
      <c r="B30" s="3">
        <f t="shared" si="0"/>
        <v>54.29999999999999</v>
      </c>
      <c r="C30" s="3">
        <v>47</v>
      </c>
      <c r="D30" s="3">
        <v>14</v>
      </c>
      <c r="E30" s="3">
        <v>2</v>
      </c>
      <c r="F30" s="3">
        <v>6</v>
      </c>
      <c r="G30" s="3">
        <v>8</v>
      </c>
      <c r="H30" s="3">
        <v>90</v>
      </c>
      <c r="I30" s="2" t="s">
        <v>97</v>
      </c>
      <c r="J30" s="2" t="s">
        <v>98</v>
      </c>
      <c r="L30" s="3">
        <v>45.29999999999999</v>
      </c>
      <c r="M30">
        <v>9</v>
      </c>
    </row>
    <row r="31" spans="1:13" x14ac:dyDescent="0.3">
      <c r="A31" s="2" t="s">
        <v>126</v>
      </c>
      <c r="B31" s="3">
        <f t="shared" si="0"/>
        <v>55.599999999999987</v>
      </c>
      <c r="C31" s="3">
        <v>47</v>
      </c>
      <c r="D31" s="3">
        <v>14</v>
      </c>
      <c r="E31" s="3">
        <v>2</v>
      </c>
      <c r="F31" s="3">
        <v>6</v>
      </c>
      <c r="G31" s="3">
        <v>8</v>
      </c>
      <c r="H31" s="3">
        <v>90</v>
      </c>
      <c r="I31" s="2" t="s">
        <v>97</v>
      </c>
      <c r="J31" s="2" t="s">
        <v>98</v>
      </c>
      <c r="L31" s="3">
        <v>46.599999999999987</v>
      </c>
      <c r="M31">
        <v>9</v>
      </c>
    </row>
    <row r="32" spans="1:13" x14ac:dyDescent="0.3">
      <c r="A32" s="2" t="s">
        <v>127</v>
      </c>
      <c r="B32" s="3">
        <f t="shared" si="0"/>
        <v>58.999999999999993</v>
      </c>
      <c r="C32" s="3">
        <v>47</v>
      </c>
      <c r="D32" s="3">
        <v>14</v>
      </c>
      <c r="E32" s="3">
        <v>2</v>
      </c>
      <c r="F32" s="3">
        <v>6</v>
      </c>
      <c r="G32" s="3">
        <v>8</v>
      </c>
      <c r="H32" s="3">
        <v>90</v>
      </c>
      <c r="I32" s="2" t="s">
        <v>97</v>
      </c>
      <c r="J32" s="2" t="s">
        <v>98</v>
      </c>
      <c r="L32" s="3">
        <v>49.999999999999993</v>
      </c>
      <c r="M32">
        <v>9</v>
      </c>
    </row>
    <row r="33" spans="1:13" x14ac:dyDescent="0.3">
      <c r="A33" s="2" t="s">
        <v>128</v>
      </c>
      <c r="B33" s="3">
        <f t="shared" si="0"/>
        <v>60.299999999999983</v>
      </c>
      <c r="C33" s="3">
        <v>47</v>
      </c>
      <c r="D33" s="3">
        <v>14</v>
      </c>
      <c r="E33" s="3">
        <v>2</v>
      </c>
      <c r="F33" s="3">
        <v>6</v>
      </c>
      <c r="G33" s="3">
        <v>8</v>
      </c>
      <c r="H33" s="3">
        <v>90</v>
      </c>
      <c r="I33" s="2" t="s">
        <v>97</v>
      </c>
      <c r="J33" s="2" t="s">
        <v>98</v>
      </c>
      <c r="L33" s="3">
        <v>51.299999999999983</v>
      </c>
      <c r="M33">
        <v>9</v>
      </c>
    </row>
    <row r="34" spans="1:13" x14ac:dyDescent="0.3">
      <c r="A34" s="2" t="s">
        <v>129</v>
      </c>
      <c r="B34" s="3">
        <f t="shared" si="0"/>
        <v>63.699999999999982</v>
      </c>
      <c r="C34" s="3">
        <v>47</v>
      </c>
      <c r="D34" s="3">
        <v>14</v>
      </c>
      <c r="E34" s="3">
        <v>2</v>
      </c>
      <c r="F34" s="3">
        <v>6</v>
      </c>
      <c r="G34" s="3">
        <v>8</v>
      </c>
      <c r="H34" s="3">
        <v>90</v>
      </c>
      <c r="I34" s="2" t="s">
        <v>97</v>
      </c>
      <c r="J34" s="2" t="s">
        <v>98</v>
      </c>
      <c r="L34" s="3">
        <v>54.699999999999982</v>
      </c>
      <c r="M34">
        <v>9</v>
      </c>
    </row>
    <row r="35" spans="1:13" x14ac:dyDescent="0.3">
      <c r="A35" s="2" t="s">
        <v>130</v>
      </c>
      <c r="B35" s="3">
        <f t="shared" si="0"/>
        <v>64.999999999999972</v>
      </c>
      <c r="C35" s="3">
        <v>47</v>
      </c>
      <c r="D35" s="3">
        <v>14</v>
      </c>
      <c r="E35" s="3">
        <v>2</v>
      </c>
      <c r="F35" s="3">
        <v>6</v>
      </c>
      <c r="G35" s="3">
        <v>8</v>
      </c>
      <c r="H35" s="3">
        <v>90</v>
      </c>
      <c r="I35" s="2" t="s">
        <v>97</v>
      </c>
      <c r="J35" s="2" t="s">
        <v>98</v>
      </c>
      <c r="L35" s="3">
        <v>55.999999999999979</v>
      </c>
      <c r="M35">
        <v>9</v>
      </c>
    </row>
    <row r="36" spans="1:13" x14ac:dyDescent="0.3">
      <c r="A36" s="2" t="s">
        <v>131</v>
      </c>
      <c r="B36" s="3">
        <f t="shared" si="0"/>
        <v>68.399999999999977</v>
      </c>
      <c r="C36" s="3">
        <v>47</v>
      </c>
      <c r="D36" s="3">
        <v>14</v>
      </c>
      <c r="E36" s="3">
        <v>2</v>
      </c>
      <c r="F36" s="3">
        <v>6</v>
      </c>
      <c r="G36" s="3">
        <v>8</v>
      </c>
      <c r="H36" s="3">
        <v>90</v>
      </c>
      <c r="I36" s="2" t="s">
        <v>97</v>
      </c>
      <c r="J36" s="2" t="s">
        <v>98</v>
      </c>
      <c r="L36" s="3">
        <v>59.399999999999977</v>
      </c>
      <c r="M36">
        <v>9</v>
      </c>
    </row>
    <row r="37" spans="1:13" x14ac:dyDescent="0.3">
      <c r="A37" s="2" t="s">
        <v>132</v>
      </c>
      <c r="B37" s="3">
        <f t="shared" si="0"/>
        <v>69.69999999999996</v>
      </c>
      <c r="C37" s="3">
        <v>47</v>
      </c>
      <c r="D37" s="3">
        <v>14</v>
      </c>
      <c r="E37" s="3">
        <v>2</v>
      </c>
      <c r="F37" s="3">
        <v>6</v>
      </c>
      <c r="G37" s="3">
        <v>8</v>
      </c>
      <c r="H37" s="3">
        <v>90</v>
      </c>
      <c r="I37" s="2" t="s">
        <v>97</v>
      </c>
      <c r="J37" s="2" t="s">
        <v>98</v>
      </c>
      <c r="L37" s="3">
        <v>60.699999999999967</v>
      </c>
      <c r="M37">
        <v>9</v>
      </c>
    </row>
    <row r="38" spans="1:13" x14ac:dyDescent="0.3">
      <c r="A38" s="2" t="s">
        <v>133</v>
      </c>
      <c r="B38" s="3">
        <f t="shared" si="0"/>
        <v>73.09999999999998</v>
      </c>
      <c r="C38" s="3">
        <v>47</v>
      </c>
      <c r="D38" s="3">
        <v>14</v>
      </c>
      <c r="E38" s="3">
        <v>2</v>
      </c>
      <c r="F38" s="3">
        <v>6</v>
      </c>
      <c r="G38" s="3">
        <v>8</v>
      </c>
      <c r="H38" s="3">
        <v>90</v>
      </c>
      <c r="I38" s="2" t="s">
        <v>97</v>
      </c>
      <c r="J38" s="2" t="s">
        <v>98</v>
      </c>
      <c r="L38" s="3">
        <v>64.09999999999998</v>
      </c>
      <c r="M38">
        <v>9</v>
      </c>
    </row>
    <row r="39" spans="1:13" x14ac:dyDescent="0.3">
      <c r="A39" s="2" t="s">
        <v>134</v>
      </c>
      <c r="B39" s="3">
        <f t="shared" si="0"/>
        <v>74.399999999999977</v>
      </c>
      <c r="C39" s="3">
        <v>47</v>
      </c>
      <c r="D39" s="3">
        <v>14</v>
      </c>
      <c r="E39" s="3">
        <v>2</v>
      </c>
      <c r="F39" s="3">
        <v>6</v>
      </c>
      <c r="G39" s="3">
        <v>8</v>
      </c>
      <c r="H39" s="3">
        <v>90</v>
      </c>
      <c r="I39" s="2" t="s">
        <v>97</v>
      </c>
      <c r="J39" s="2" t="s">
        <v>98</v>
      </c>
      <c r="L39" s="3">
        <v>65.399999999999977</v>
      </c>
      <c r="M39">
        <v>9</v>
      </c>
    </row>
    <row r="40" spans="1:13" x14ac:dyDescent="0.3">
      <c r="A40" s="2" t="s">
        <v>135</v>
      </c>
      <c r="B40" s="3">
        <f t="shared" si="0"/>
        <v>77.799999999999983</v>
      </c>
      <c r="C40" s="3">
        <v>47</v>
      </c>
      <c r="D40" s="3">
        <v>14</v>
      </c>
      <c r="E40" s="3">
        <v>2</v>
      </c>
      <c r="F40" s="3">
        <v>6</v>
      </c>
      <c r="G40" s="3">
        <v>8</v>
      </c>
      <c r="H40" s="3">
        <v>90</v>
      </c>
      <c r="I40" s="2" t="s">
        <v>97</v>
      </c>
      <c r="J40" s="2" t="s">
        <v>98</v>
      </c>
      <c r="L40" s="3">
        <v>68.799999999999983</v>
      </c>
      <c r="M40">
        <v>9</v>
      </c>
    </row>
    <row r="41" spans="1:13" x14ac:dyDescent="0.3">
      <c r="A41" s="2" t="s">
        <v>136</v>
      </c>
      <c r="B41" s="3">
        <f t="shared" si="0"/>
        <v>79.09999999999998</v>
      </c>
      <c r="C41" s="3">
        <v>47</v>
      </c>
      <c r="D41" s="3">
        <v>14</v>
      </c>
      <c r="E41" s="3">
        <v>2</v>
      </c>
      <c r="F41" s="3">
        <v>6</v>
      </c>
      <c r="G41" s="3">
        <v>8</v>
      </c>
      <c r="H41" s="3">
        <v>90</v>
      </c>
      <c r="I41" s="2" t="s">
        <v>97</v>
      </c>
      <c r="J41" s="2" t="s">
        <v>98</v>
      </c>
      <c r="L41" s="3">
        <v>70.09999999999998</v>
      </c>
      <c r="M41">
        <v>9</v>
      </c>
    </row>
    <row r="42" spans="1:13" x14ac:dyDescent="0.3">
      <c r="A42" s="2" t="s">
        <v>137</v>
      </c>
      <c r="B42" s="3">
        <f t="shared" si="0"/>
        <v>82.499999999999986</v>
      </c>
      <c r="C42" s="3">
        <v>47</v>
      </c>
      <c r="D42" s="3">
        <v>14</v>
      </c>
      <c r="E42" s="3">
        <v>2</v>
      </c>
      <c r="F42" s="3">
        <v>6</v>
      </c>
      <c r="G42" s="3">
        <v>8</v>
      </c>
      <c r="H42" s="3">
        <v>90</v>
      </c>
      <c r="I42" s="2" t="s">
        <v>97</v>
      </c>
      <c r="J42" s="2" t="s">
        <v>98</v>
      </c>
      <c r="L42" s="3">
        <v>73.499999999999986</v>
      </c>
      <c r="M42">
        <v>9</v>
      </c>
    </row>
    <row r="43" spans="1:13" x14ac:dyDescent="0.3">
      <c r="A43" s="2" t="s">
        <v>138</v>
      </c>
      <c r="B43" s="3">
        <f t="shared" si="0"/>
        <v>83.799999999999983</v>
      </c>
      <c r="C43" s="3">
        <v>47</v>
      </c>
      <c r="D43" s="3">
        <v>14</v>
      </c>
      <c r="E43" s="3">
        <v>2</v>
      </c>
      <c r="F43" s="3">
        <v>6</v>
      </c>
      <c r="G43" s="3">
        <v>8</v>
      </c>
      <c r="H43" s="3">
        <v>90</v>
      </c>
      <c r="I43" s="2" t="s">
        <v>97</v>
      </c>
      <c r="J43" s="2" t="s">
        <v>98</v>
      </c>
      <c r="L43" s="3">
        <v>74.799999999999983</v>
      </c>
      <c r="M43">
        <v>9</v>
      </c>
    </row>
    <row r="44" spans="1:13" x14ac:dyDescent="0.3">
      <c r="A44" s="2" t="s">
        <v>139</v>
      </c>
      <c r="B44" s="3">
        <f t="shared" si="0"/>
        <v>88.799999999999983</v>
      </c>
      <c r="C44" s="3">
        <v>47</v>
      </c>
      <c r="D44" s="3">
        <v>14</v>
      </c>
      <c r="E44" s="3">
        <v>2</v>
      </c>
      <c r="F44" s="3">
        <v>6</v>
      </c>
      <c r="G44" s="3">
        <v>8</v>
      </c>
      <c r="H44" s="3">
        <v>90</v>
      </c>
      <c r="I44" s="2" t="s">
        <v>97</v>
      </c>
      <c r="J44" s="2" t="s">
        <v>98</v>
      </c>
      <c r="L44" s="3">
        <v>79.799999999999983</v>
      </c>
      <c r="M44">
        <v>9</v>
      </c>
    </row>
    <row r="45" spans="1:13" x14ac:dyDescent="0.3">
      <c r="A45" s="2" t="s">
        <v>140</v>
      </c>
      <c r="B45" s="3">
        <f t="shared" si="0"/>
        <v>92.199999999999989</v>
      </c>
      <c r="C45" s="3">
        <v>47</v>
      </c>
      <c r="D45" s="3">
        <v>14</v>
      </c>
      <c r="E45" s="3">
        <v>2</v>
      </c>
      <c r="F45" s="3">
        <v>6</v>
      </c>
      <c r="G45" s="3">
        <v>8</v>
      </c>
      <c r="H45" s="3">
        <v>90</v>
      </c>
      <c r="I45" s="2" t="s">
        <v>97</v>
      </c>
      <c r="J45" s="2" t="s">
        <v>98</v>
      </c>
      <c r="L45" s="3">
        <v>83.199999999999989</v>
      </c>
      <c r="M45">
        <v>9</v>
      </c>
    </row>
    <row r="46" spans="1:13" x14ac:dyDescent="0.3">
      <c r="A46" s="2" t="s">
        <v>141</v>
      </c>
      <c r="B46" s="3">
        <f t="shared" si="0"/>
        <v>93.499999999999986</v>
      </c>
      <c r="C46" s="3">
        <v>47</v>
      </c>
      <c r="D46" s="3">
        <v>14</v>
      </c>
      <c r="E46" s="3">
        <v>2</v>
      </c>
      <c r="F46" s="3">
        <v>6</v>
      </c>
      <c r="G46" s="3">
        <v>8</v>
      </c>
      <c r="H46" s="3">
        <v>90</v>
      </c>
      <c r="I46" s="2" t="s">
        <v>97</v>
      </c>
      <c r="J46" s="2" t="s">
        <v>98</v>
      </c>
      <c r="L46" s="3">
        <v>84.499999999999986</v>
      </c>
      <c r="M46">
        <v>9</v>
      </c>
    </row>
    <row r="47" spans="1:13" x14ac:dyDescent="0.3">
      <c r="A47" s="2" t="s">
        <v>142</v>
      </c>
      <c r="B47" s="3">
        <f t="shared" si="0"/>
        <v>96.899999999999991</v>
      </c>
      <c r="C47" s="3">
        <v>47</v>
      </c>
      <c r="D47" s="3">
        <v>14</v>
      </c>
      <c r="E47" s="3">
        <v>2</v>
      </c>
      <c r="F47" s="3">
        <v>6</v>
      </c>
      <c r="G47" s="3">
        <v>8</v>
      </c>
      <c r="H47" s="3">
        <v>90</v>
      </c>
      <c r="I47" s="2" t="s">
        <v>97</v>
      </c>
      <c r="J47" s="2" t="s">
        <v>98</v>
      </c>
      <c r="L47" s="3">
        <v>87.899999999999991</v>
      </c>
      <c r="M47">
        <v>9</v>
      </c>
    </row>
    <row r="48" spans="1:13" x14ac:dyDescent="0.3">
      <c r="A48" s="2" t="s">
        <v>143</v>
      </c>
      <c r="B48" s="3">
        <f t="shared" si="0"/>
        <v>98.199999999999989</v>
      </c>
      <c r="C48" s="3">
        <v>47</v>
      </c>
      <c r="D48" s="3">
        <v>14</v>
      </c>
      <c r="E48" s="3">
        <v>2</v>
      </c>
      <c r="F48" s="3">
        <v>6</v>
      </c>
      <c r="G48" s="3">
        <v>8</v>
      </c>
      <c r="H48" s="3">
        <v>90</v>
      </c>
      <c r="I48" s="2" t="s">
        <v>97</v>
      </c>
      <c r="J48" s="2" t="s">
        <v>98</v>
      </c>
      <c r="L48" s="3">
        <v>89.199999999999989</v>
      </c>
      <c r="M48">
        <v>9</v>
      </c>
    </row>
    <row r="49" spans="1:13" x14ac:dyDescent="0.3">
      <c r="A49" s="2" t="s">
        <v>144</v>
      </c>
      <c r="B49" s="3">
        <f t="shared" si="0"/>
        <v>101.6</v>
      </c>
      <c r="C49" s="3">
        <v>47</v>
      </c>
      <c r="D49" s="3">
        <v>14</v>
      </c>
      <c r="E49" s="3">
        <v>2</v>
      </c>
      <c r="F49" s="3">
        <v>6</v>
      </c>
      <c r="G49" s="3">
        <v>8</v>
      </c>
      <c r="H49" s="3">
        <v>90</v>
      </c>
      <c r="I49" s="2" t="s">
        <v>97</v>
      </c>
      <c r="J49" s="2" t="s">
        <v>98</v>
      </c>
      <c r="L49" s="3">
        <v>92.6</v>
      </c>
      <c r="M49">
        <v>9</v>
      </c>
    </row>
    <row r="50" spans="1:13" x14ac:dyDescent="0.3">
      <c r="A50" s="2" t="s">
        <v>145</v>
      </c>
      <c r="B50" s="3">
        <f t="shared" si="0"/>
        <v>102.89999999999999</v>
      </c>
      <c r="C50" s="3">
        <v>47</v>
      </c>
      <c r="D50" s="3">
        <v>14</v>
      </c>
      <c r="E50" s="3">
        <v>2</v>
      </c>
      <c r="F50" s="3">
        <v>6</v>
      </c>
      <c r="G50" s="3">
        <v>8</v>
      </c>
      <c r="H50" s="3">
        <v>90</v>
      </c>
      <c r="I50" s="2" t="s">
        <v>97</v>
      </c>
      <c r="J50" s="2" t="s">
        <v>98</v>
      </c>
      <c r="L50" s="3">
        <v>93.899999999999991</v>
      </c>
      <c r="M50">
        <v>9</v>
      </c>
    </row>
    <row r="51" spans="1:13" x14ac:dyDescent="0.3">
      <c r="A51" s="2" t="s">
        <v>146</v>
      </c>
      <c r="B51" s="3">
        <f t="shared" si="0"/>
        <v>106.3</v>
      </c>
      <c r="C51" s="3">
        <v>47</v>
      </c>
      <c r="D51" s="3">
        <v>14</v>
      </c>
      <c r="E51" s="3">
        <v>2</v>
      </c>
      <c r="F51" s="3">
        <v>6</v>
      </c>
      <c r="G51" s="3">
        <v>8</v>
      </c>
      <c r="H51" s="3">
        <v>90</v>
      </c>
      <c r="I51" s="2" t="s">
        <v>97</v>
      </c>
      <c r="J51" s="2" t="s">
        <v>98</v>
      </c>
      <c r="L51" s="3">
        <v>97.3</v>
      </c>
      <c r="M51">
        <v>9</v>
      </c>
    </row>
    <row r="52" spans="1:13" x14ac:dyDescent="0.3">
      <c r="A52" s="2" t="s">
        <v>147</v>
      </c>
      <c r="B52" s="3">
        <f t="shared" si="0"/>
        <v>107.6</v>
      </c>
      <c r="C52" s="3">
        <v>47</v>
      </c>
      <c r="D52" s="3">
        <v>14</v>
      </c>
      <c r="E52" s="3">
        <v>2</v>
      </c>
      <c r="F52" s="3">
        <v>6</v>
      </c>
      <c r="G52" s="3">
        <v>8</v>
      </c>
      <c r="H52" s="3">
        <v>90</v>
      </c>
      <c r="I52" s="2" t="s">
        <v>97</v>
      </c>
      <c r="J52" s="2" t="s">
        <v>98</v>
      </c>
      <c r="L52" s="3">
        <v>98.6</v>
      </c>
      <c r="M52">
        <v>9</v>
      </c>
    </row>
    <row r="53" spans="1:13" x14ac:dyDescent="0.3">
      <c r="A53" s="2" t="s">
        <v>148</v>
      </c>
      <c r="B53" s="3">
        <f t="shared" si="0"/>
        <v>111</v>
      </c>
      <c r="C53" s="3">
        <v>47</v>
      </c>
      <c r="D53" s="3">
        <v>14</v>
      </c>
      <c r="E53" s="3">
        <v>2</v>
      </c>
      <c r="F53" s="3">
        <v>6</v>
      </c>
      <c r="G53" s="3">
        <v>8</v>
      </c>
      <c r="H53" s="3">
        <v>90</v>
      </c>
      <c r="I53" s="2" t="s">
        <v>97</v>
      </c>
      <c r="J53" s="2" t="s">
        <v>98</v>
      </c>
      <c r="L53" s="3">
        <v>102</v>
      </c>
      <c r="M53">
        <v>9</v>
      </c>
    </row>
    <row r="54" spans="1:13" x14ac:dyDescent="0.3">
      <c r="A54" s="2" t="s">
        <v>149</v>
      </c>
      <c r="B54" s="3">
        <f t="shared" si="0"/>
        <v>112.3</v>
      </c>
      <c r="C54" s="3">
        <v>47</v>
      </c>
      <c r="D54" s="3">
        <v>14</v>
      </c>
      <c r="E54" s="3">
        <v>2</v>
      </c>
      <c r="F54" s="3">
        <v>6</v>
      </c>
      <c r="G54" s="3">
        <v>8</v>
      </c>
      <c r="H54" s="3">
        <v>90</v>
      </c>
      <c r="I54" s="2" t="s">
        <v>97</v>
      </c>
      <c r="J54" s="2" t="s">
        <v>98</v>
      </c>
      <c r="L54" s="3">
        <v>103.3</v>
      </c>
      <c r="M54">
        <v>9</v>
      </c>
    </row>
    <row r="55" spans="1:13" x14ac:dyDescent="0.3">
      <c r="A55" s="2" t="s">
        <v>150</v>
      </c>
      <c r="B55" s="3">
        <f t="shared" si="0"/>
        <v>115.7</v>
      </c>
      <c r="C55" s="3">
        <v>47</v>
      </c>
      <c r="D55" s="3">
        <v>14</v>
      </c>
      <c r="E55" s="3">
        <v>2</v>
      </c>
      <c r="F55" s="3">
        <v>6</v>
      </c>
      <c r="G55" s="3">
        <v>8</v>
      </c>
      <c r="H55" s="3">
        <v>90</v>
      </c>
      <c r="I55" s="2" t="s">
        <v>97</v>
      </c>
      <c r="J55" s="2" t="s">
        <v>98</v>
      </c>
      <c r="L55" s="3">
        <v>106.7</v>
      </c>
      <c r="M55">
        <v>9</v>
      </c>
    </row>
    <row r="56" spans="1:13" x14ac:dyDescent="0.3">
      <c r="A56" s="2" t="s">
        <v>151</v>
      </c>
      <c r="B56" s="3">
        <f t="shared" si="0"/>
        <v>117</v>
      </c>
      <c r="C56" s="3">
        <v>47</v>
      </c>
      <c r="D56" s="3">
        <v>14</v>
      </c>
      <c r="E56" s="3">
        <v>2</v>
      </c>
      <c r="F56" s="3">
        <v>6</v>
      </c>
      <c r="G56" s="3">
        <v>8</v>
      </c>
      <c r="H56" s="3">
        <v>90</v>
      </c>
      <c r="I56" s="2" t="s">
        <v>97</v>
      </c>
      <c r="J56" s="2" t="s">
        <v>98</v>
      </c>
      <c r="L56" s="3">
        <v>108</v>
      </c>
      <c r="M56">
        <v>9</v>
      </c>
    </row>
    <row r="57" spans="1:13" x14ac:dyDescent="0.3">
      <c r="A57" s="2" t="s">
        <v>152</v>
      </c>
      <c r="B57" s="3">
        <f t="shared" si="0"/>
        <v>120.4</v>
      </c>
      <c r="C57" s="3">
        <v>47</v>
      </c>
      <c r="D57" s="3">
        <v>14</v>
      </c>
      <c r="E57" s="3">
        <v>2</v>
      </c>
      <c r="F57" s="3">
        <v>6</v>
      </c>
      <c r="G57" s="3">
        <v>8</v>
      </c>
      <c r="H57" s="3">
        <v>90</v>
      </c>
      <c r="I57" s="2" t="s">
        <v>97</v>
      </c>
      <c r="J57" s="2" t="s">
        <v>98</v>
      </c>
      <c r="L57" s="3">
        <v>111.4</v>
      </c>
      <c r="M57">
        <v>9</v>
      </c>
    </row>
    <row r="58" spans="1:13" x14ac:dyDescent="0.3">
      <c r="A58" s="2" t="s">
        <v>153</v>
      </c>
      <c r="B58" s="3">
        <f t="shared" si="0"/>
        <v>121.7</v>
      </c>
      <c r="C58" s="3">
        <v>47</v>
      </c>
      <c r="D58" s="3">
        <v>14</v>
      </c>
      <c r="E58" s="3">
        <v>2</v>
      </c>
      <c r="F58" s="3">
        <v>6</v>
      </c>
      <c r="G58" s="3">
        <v>8</v>
      </c>
      <c r="H58" s="3">
        <v>90</v>
      </c>
      <c r="I58" s="2" t="s">
        <v>97</v>
      </c>
      <c r="J58" s="2" t="s">
        <v>98</v>
      </c>
      <c r="L58" s="3">
        <v>112.7</v>
      </c>
      <c r="M58">
        <v>9</v>
      </c>
    </row>
    <row r="59" spans="1:13" x14ac:dyDescent="0.3">
      <c r="A59" s="2" t="s">
        <v>154</v>
      </c>
      <c r="B59" s="3">
        <f t="shared" si="0"/>
        <v>125.1</v>
      </c>
      <c r="C59" s="3">
        <v>47</v>
      </c>
      <c r="D59" s="3">
        <v>14</v>
      </c>
      <c r="E59" s="3">
        <v>2</v>
      </c>
      <c r="F59" s="3">
        <v>6</v>
      </c>
      <c r="G59" s="3">
        <v>8</v>
      </c>
      <c r="H59" s="3">
        <v>90</v>
      </c>
      <c r="I59" s="2" t="s">
        <v>97</v>
      </c>
      <c r="J59" s="2" t="s">
        <v>98</v>
      </c>
      <c r="L59" s="3">
        <v>116.1</v>
      </c>
      <c r="M59">
        <v>9</v>
      </c>
    </row>
    <row r="60" spans="1:13" x14ac:dyDescent="0.3">
      <c r="A60" s="2" t="s">
        <v>155</v>
      </c>
      <c r="B60" s="3">
        <f t="shared" si="0"/>
        <v>126.4</v>
      </c>
      <c r="C60" s="3">
        <v>47</v>
      </c>
      <c r="D60" s="3">
        <v>14</v>
      </c>
      <c r="E60" s="3">
        <v>2</v>
      </c>
      <c r="F60" s="3">
        <v>6</v>
      </c>
      <c r="G60" s="3">
        <v>8</v>
      </c>
      <c r="H60" s="3">
        <v>90</v>
      </c>
      <c r="I60" s="2" t="s">
        <v>97</v>
      </c>
      <c r="J60" s="2" t="s">
        <v>98</v>
      </c>
      <c r="L60" s="3">
        <v>117.4</v>
      </c>
      <c r="M60">
        <v>9</v>
      </c>
    </row>
    <row r="61" spans="1:13" x14ac:dyDescent="0.3">
      <c r="A61" s="2" t="s">
        <v>156</v>
      </c>
      <c r="B61" s="3">
        <f t="shared" si="0"/>
        <v>129.80000000000001</v>
      </c>
      <c r="C61" s="3">
        <v>47</v>
      </c>
      <c r="D61" s="3">
        <v>14</v>
      </c>
      <c r="E61" s="3">
        <v>2</v>
      </c>
      <c r="F61" s="3">
        <v>6</v>
      </c>
      <c r="G61" s="3">
        <v>8</v>
      </c>
      <c r="H61" s="3">
        <v>90</v>
      </c>
      <c r="I61" s="2" t="s">
        <v>97</v>
      </c>
      <c r="J61" s="2" t="s">
        <v>98</v>
      </c>
      <c r="L61" s="3">
        <v>120.8</v>
      </c>
      <c r="M61">
        <v>9</v>
      </c>
    </row>
    <row r="62" spans="1:13" x14ac:dyDescent="0.3">
      <c r="A62" s="2" t="s">
        <v>157</v>
      </c>
      <c r="B62" s="3">
        <f t="shared" si="0"/>
        <v>131.1</v>
      </c>
      <c r="C62" s="3">
        <v>47</v>
      </c>
      <c r="D62" s="3">
        <v>14</v>
      </c>
      <c r="E62" s="3">
        <v>2</v>
      </c>
      <c r="F62" s="3">
        <v>6</v>
      </c>
      <c r="G62" s="3">
        <v>8</v>
      </c>
      <c r="H62" s="3">
        <v>90</v>
      </c>
      <c r="I62" s="2" t="s">
        <v>97</v>
      </c>
      <c r="J62" s="2" t="s">
        <v>98</v>
      </c>
      <c r="L62" s="3">
        <v>122.1</v>
      </c>
      <c r="M62">
        <v>9</v>
      </c>
    </row>
    <row r="63" spans="1:13" x14ac:dyDescent="0.3">
      <c r="A63" s="2" t="s">
        <v>158</v>
      </c>
      <c r="B63" s="3">
        <f t="shared" si="0"/>
        <v>134.5</v>
      </c>
      <c r="C63" s="3">
        <v>47</v>
      </c>
      <c r="D63" s="3">
        <v>14</v>
      </c>
      <c r="E63" s="3">
        <v>2</v>
      </c>
      <c r="F63" s="3">
        <v>6</v>
      </c>
      <c r="G63" s="3">
        <v>8</v>
      </c>
      <c r="H63" s="3">
        <v>90</v>
      </c>
      <c r="I63" s="2" t="s">
        <v>97</v>
      </c>
      <c r="J63" s="2" t="s">
        <v>98</v>
      </c>
      <c r="L63" s="3">
        <v>125.5</v>
      </c>
      <c r="M63">
        <v>9</v>
      </c>
    </row>
    <row r="64" spans="1:13" x14ac:dyDescent="0.3">
      <c r="A64" s="2" t="s">
        <v>159</v>
      </c>
      <c r="B64" s="3">
        <f t="shared" si="0"/>
        <v>135.80000000000001</v>
      </c>
      <c r="C64" s="3">
        <v>47</v>
      </c>
      <c r="D64" s="3">
        <v>14</v>
      </c>
      <c r="E64" s="3">
        <v>2</v>
      </c>
      <c r="F64" s="3">
        <v>6</v>
      </c>
      <c r="G64" s="3">
        <v>8</v>
      </c>
      <c r="H64" s="3">
        <v>90</v>
      </c>
      <c r="I64" s="2" t="s">
        <v>97</v>
      </c>
      <c r="J64" s="2" t="s">
        <v>98</v>
      </c>
      <c r="L64" s="3">
        <v>126.8</v>
      </c>
      <c r="M64">
        <v>9</v>
      </c>
    </row>
    <row r="65" spans="1:13" x14ac:dyDescent="0.3">
      <c r="A65" s="2" t="s">
        <v>160</v>
      </c>
      <c r="B65" s="3">
        <f t="shared" si="0"/>
        <v>139.19999999999999</v>
      </c>
      <c r="C65" s="3">
        <v>47</v>
      </c>
      <c r="D65" s="3">
        <v>14</v>
      </c>
      <c r="E65" s="3">
        <v>2</v>
      </c>
      <c r="F65" s="3">
        <v>6</v>
      </c>
      <c r="G65" s="3">
        <v>8</v>
      </c>
      <c r="H65" s="3">
        <v>90</v>
      </c>
      <c r="I65" s="2" t="s">
        <v>97</v>
      </c>
      <c r="J65" s="2" t="s">
        <v>98</v>
      </c>
      <c r="L65" s="3">
        <v>130.19999999999999</v>
      </c>
      <c r="M65">
        <v>9</v>
      </c>
    </row>
    <row r="66" spans="1:13" x14ac:dyDescent="0.3">
      <c r="A66" s="2" t="s">
        <v>161</v>
      </c>
      <c r="B66" s="3">
        <f t="shared" si="0"/>
        <v>140.5</v>
      </c>
      <c r="C66" s="3">
        <v>47</v>
      </c>
      <c r="D66" s="3">
        <v>14</v>
      </c>
      <c r="E66" s="3">
        <v>2</v>
      </c>
      <c r="F66" s="3">
        <v>6</v>
      </c>
      <c r="G66" s="3">
        <v>8</v>
      </c>
      <c r="H66" s="3">
        <v>90</v>
      </c>
      <c r="I66" s="2" t="s">
        <v>97</v>
      </c>
      <c r="J66" s="2" t="s">
        <v>98</v>
      </c>
      <c r="L66" s="3">
        <v>131.5</v>
      </c>
      <c r="M66">
        <v>9</v>
      </c>
    </row>
    <row r="67" spans="1:13" x14ac:dyDescent="0.3">
      <c r="A67" s="2" t="s">
        <v>162</v>
      </c>
      <c r="B67" s="3">
        <f t="shared" si="0"/>
        <v>143.9</v>
      </c>
      <c r="C67" s="3">
        <v>47</v>
      </c>
      <c r="D67" s="3">
        <v>14</v>
      </c>
      <c r="E67" s="3">
        <v>2</v>
      </c>
      <c r="F67" s="3">
        <v>6</v>
      </c>
      <c r="G67" s="3">
        <v>8</v>
      </c>
      <c r="H67" s="3">
        <v>90</v>
      </c>
      <c r="I67" s="2" t="s">
        <v>97</v>
      </c>
      <c r="J67" s="2" t="s">
        <v>98</v>
      </c>
      <c r="L67" s="3">
        <v>134.9</v>
      </c>
      <c r="M67">
        <v>9</v>
      </c>
    </row>
    <row r="68" spans="1:13" x14ac:dyDescent="0.3">
      <c r="A68" s="2" t="s">
        <v>163</v>
      </c>
      <c r="B68" s="3">
        <f t="shared" ref="B68:B70" si="1">L68+M68</f>
        <v>145.19999999999999</v>
      </c>
      <c r="C68" s="3">
        <v>47</v>
      </c>
      <c r="D68" s="3">
        <v>14</v>
      </c>
      <c r="E68" s="3">
        <v>2</v>
      </c>
      <c r="F68" s="3">
        <v>6</v>
      </c>
      <c r="G68" s="3">
        <v>8</v>
      </c>
      <c r="H68" s="3">
        <v>90</v>
      </c>
      <c r="I68" s="2" t="s">
        <v>97</v>
      </c>
      <c r="J68" s="2" t="s">
        <v>98</v>
      </c>
      <c r="L68" s="3">
        <v>136.19999999999999</v>
      </c>
      <c r="M68">
        <v>9</v>
      </c>
    </row>
    <row r="69" spans="1:13" x14ac:dyDescent="0.3">
      <c r="A69" s="2" t="s">
        <v>164</v>
      </c>
      <c r="B69" s="3">
        <f t="shared" si="1"/>
        <v>148.60000000000011</v>
      </c>
      <c r="C69" s="3">
        <v>47</v>
      </c>
      <c r="D69" s="3">
        <v>14</v>
      </c>
      <c r="E69" s="3">
        <v>2</v>
      </c>
      <c r="F69" s="3">
        <v>6</v>
      </c>
      <c r="G69" s="3">
        <v>8</v>
      </c>
      <c r="H69" s="3">
        <v>90</v>
      </c>
      <c r="I69" s="2" t="s">
        <v>97</v>
      </c>
      <c r="J69" s="2" t="s">
        <v>98</v>
      </c>
      <c r="L69" s="3">
        <v>139.60000000000011</v>
      </c>
      <c r="M69">
        <v>9</v>
      </c>
    </row>
    <row r="70" spans="1:13" x14ac:dyDescent="0.3">
      <c r="A70" s="2" t="s">
        <v>165</v>
      </c>
      <c r="B70" s="3">
        <f t="shared" si="1"/>
        <v>149.90000000000009</v>
      </c>
      <c r="C70" s="3">
        <v>47</v>
      </c>
      <c r="D70" s="3">
        <v>14</v>
      </c>
      <c r="E70" s="3">
        <v>2</v>
      </c>
      <c r="F70" s="3">
        <v>6</v>
      </c>
      <c r="G70" s="3">
        <v>8</v>
      </c>
      <c r="H70" s="3">
        <v>90</v>
      </c>
      <c r="I70" s="2" t="s">
        <v>97</v>
      </c>
      <c r="J70" s="2" t="s">
        <v>98</v>
      </c>
      <c r="L70" s="3">
        <v>140.90000000000009</v>
      </c>
      <c r="M70">
        <v>9</v>
      </c>
    </row>
  </sheetData>
  <mergeCells count="1">
    <mergeCell ref="A1:J1"/>
  </mergeCells>
  <dataValidations count="1">
    <dataValidation type="list" allowBlank="1" sqref="H3:H500" xr:uid="{00000000-0002-0000-1100-000000000000}">
      <formula1>"0,90,180,270"</formula1>
    </dataValidation>
  </dataValidations>
  <pageMargins left="0.75" right="0.75" top="1" bottom="1" header="0.5" footer="0.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2"/>
  <sheetViews>
    <sheetView workbookViewId="0">
      <pane ySplit="2" topLeftCell="A3" activePane="bottomLeft" state="frozen"/>
      <selection pane="bottomLeft" activeCell="E5" sqref="E5"/>
    </sheetView>
  </sheetViews>
  <sheetFormatPr defaultRowHeight="14.4" x14ac:dyDescent="0.3"/>
  <cols>
    <col min="1" max="1" width="20.21875" customWidth="1"/>
    <col min="2" max="3" width="8" customWidth="1"/>
    <col min="4" max="4" width="12" customWidth="1"/>
    <col min="5" max="5" width="9" customWidth="1"/>
    <col min="6" max="6" width="12" customWidth="1"/>
    <col min="7" max="8" width="8" customWidth="1"/>
  </cols>
  <sheetData>
    <row r="1" spans="1:8" ht="15.6" x14ac:dyDescent="0.3">
      <c r="A1" s="15" t="s">
        <v>233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234</v>
      </c>
      <c r="F2" s="1" t="s">
        <v>6</v>
      </c>
      <c r="G2" s="1" t="s">
        <v>235</v>
      </c>
      <c r="H2" s="1" t="s">
        <v>237</v>
      </c>
    </row>
    <row r="3" spans="1:8" x14ac:dyDescent="0.3">
      <c r="A3" s="2" t="s">
        <v>305</v>
      </c>
      <c r="B3" s="3">
        <v>30.5</v>
      </c>
      <c r="C3" s="3">
        <v>0</v>
      </c>
      <c r="D3" s="2">
        <v>0</v>
      </c>
      <c r="E3" s="2" t="s">
        <v>239</v>
      </c>
      <c r="F3" s="2"/>
      <c r="G3" s="2"/>
      <c r="H3" s="2"/>
    </row>
    <row r="4" spans="1:8" x14ac:dyDescent="0.3">
      <c r="A4" s="2" t="s">
        <v>306</v>
      </c>
      <c r="B4" s="3">
        <v>35.5</v>
      </c>
      <c r="C4" s="3">
        <v>0</v>
      </c>
      <c r="D4" s="2">
        <v>0</v>
      </c>
      <c r="E4" s="2" t="s">
        <v>239</v>
      </c>
      <c r="F4" s="2"/>
      <c r="G4" s="2"/>
      <c r="H4" s="2"/>
    </row>
    <row r="5" spans="1:8" x14ac:dyDescent="0.3">
      <c r="A5" s="2" t="s">
        <v>307</v>
      </c>
      <c r="B5" s="3">
        <v>40.5</v>
      </c>
      <c r="C5" s="3">
        <v>0</v>
      </c>
      <c r="D5" s="2">
        <v>0</v>
      </c>
      <c r="E5" s="2" t="s">
        <v>238</v>
      </c>
      <c r="F5" s="2"/>
      <c r="G5" s="2"/>
      <c r="H5" s="2"/>
    </row>
    <row r="6" spans="1:8" x14ac:dyDescent="0.3">
      <c r="A6" s="2" t="s">
        <v>308</v>
      </c>
      <c r="B6" s="3">
        <v>90</v>
      </c>
      <c r="C6" s="3">
        <v>0</v>
      </c>
      <c r="D6" s="2">
        <v>0</v>
      </c>
      <c r="E6" s="2" t="s">
        <v>238</v>
      </c>
      <c r="F6" s="2"/>
      <c r="G6" s="2"/>
      <c r="H6" s="2"/>
    </row>
    <row r="7" spans="1:8" x14ac:dyDescent="0.3">
      <c r="A7" s="2" t="s">
        <v>309</v>
      </c>
      <c r="B7" s="3">
        <v>95</v>
      </c>
      <c r="C7" s="3">
        <v>0</v>
      </c>
      <c r="D7" s="2">
        <v>0</v>
      </c>
      <c r="E7" s="2" t="s">
        <v>239</v>
      </c>
      <c r="F7" s="2"/>
      <c r="G7" s="2"/>
      <c r="H7" s="2"/>
    </row>
    <row r="8" spans="1:8" x14ac:dyDescent="0.3">
      <c r="A8" s="2" t="s">
        <v>310</v>
      </c>
      <c r="B8" s="3">
        <v>100</v>
      </c>
      <c r="C8" s="3">
        <v>0</v>
      </c>
      <c r="D8" s="2">
        <v>0</v>
      </c>
      <c r="E8" s="2" t="s">
        <v>239</v>
      </c>
      <c r="F8" s="2"/>
      <c r="G8" s="2"/>
      <c r="H8" s="2"/>
    </row>
    <row r="9" spans="1:8" x14ac:dyDescent="0.3">
      <c r="A9" s="2" t="s">
        <v>311</v>
      </c>
      <c r="B9" s="3">
        <v>105</v>
      </c>
      <c r="C9" s="3">
        <v>0</v>
      </c>
      <c r="D9" s="2">
        <v>0</v>
      </c>
      <c r="E9" s="2" t="s">
        <v>238</v>
      </c>
      <c r="F9" s="2"/>
      <c r="G9" s="2"/>
      <c r="H9" s="2"/>
    </row>
    <row r="10" spans="1:8" x14ac:dyDescent="0.3">
      <c r="A10" s="2" t="s">
        <v>312</v>
      </c>
      <c r="B10" s="3">
        <v>110</v>
      </c>
      <c r="C10" s="3">
        <v>0</v>
      </c>
      <c r="D10" s="2">
        <v>0</v>
      </c>
      <c r="E10" s="2" t="s">
        <v>239</v>
      </c>
      <c r="F10" s="2"/>
      <c r="G10" s="2"/>
      <c r="H10" s="2"/>
    </row>
    <row r="11" spans="1:8" x14ac:dyDescent="0.3">
      <c r="A11" s="2" t="s">
        <v>313</v>
      </c>
      <c r="B11" s="3">
        <v>115</v>
      </c>
      <c r="C11" s="3">
        <v>0</v>
      </c>
      <c r="D11" s="2">
        <v>0</v>
      </c>
      <c r="E11" s="2" t="s">
        <v>239</v>
      </c>
      <c r="F11" s="2"/>
      <c r="G11" s="2"/>
      <c r="H11" s="2"/>
    </row>
    <row r="12" spans="1:8" x14ac:dyDescent="0.3">
      <c r="A12" s="2" t="s">
        <v>314</v>
      </c>
      <c r="B12" s="3">
        <v>122.5</v>
      </c>
      <c r="C12" s="3">
        <v>0</v>
      </c>
      <c r="D12" s="2">
        <v>0</v>
      </c>
      <c r="E12" s="2" t="s">
        <v>238</v>
      </c>
      <c r="F12" s="2"/>
      <c r="G12" s="2"/>
      <c r="H12" s="2"/>
    </row>
    <row r="13" spans="1:8" x14ac:dyDescent="0.3">
      <c r="A13" s="2" t="s">
        <v>315</v>
      </c>
      <c r="B13" s="3">
        <v>127.5</v>
      </c>
      <c r="C13" s="3">
        <v>0</v>
      </c>
      <c r="D13" s="2">
        <v>0</v>
      </c>
      <c r="E13" s="2" t="s">
        <v>239</v>
      </c>
      <c r="F13" s="2"/>
      <c r="G13" s="2"/>
      <c r="H13" s="2"/>
    </row>
    <row r="14" spans="1:8" x14ac:dyDescent="0.3">
      <c r="A14" s="2" t="s">
        <v>316</v>
      </c>
      <c r="B14" s="3">
        <v>132.5</v>
      </c>
      <c r="C14" s="3">
        <v>0</v>
      </c>
      <c r="D14" s="2">
        <v>0</v>
      </c>
      <c r="E14" s="2" t="s">
        <v>239</v>
      </c>
      <c r="F14" s="2"/>
      <c r="G14" s="2"/>
      <c r="H14" s="2"/>
    </row>
    <row r="15" spans="1:8" x14ac:dyDescent="0.3">
      <c r="A15" s="2" t="s">
        <v>317</v>
      </c>
      <c r="B15" s="3">
        <v>12</v>
      </c>
      <c r="C15" s="3">
        <v>60</v>
      </c>
      <c r="D15" s="2">
        <v>270</v>
      </c>
      <c r="E15" s="2" t="s">
        <v>238</v>
      </c>
      <c r="F15" s="2"/>
      <c r="G15" s="2"/>
      <c r="H15" s="2"/>
    </row>
    <row r="16" spans="1:8" x14ac:dyDescent="0.3">
      <c r="A16" s="2" t="s">
        <v>318</v>
      </c>
      <c r="B16" s="3">
        <v>12</v>
      </c>
      <c r="C16" s="3">
        <v>65</v>
      </c>
      <c r="D16" s="2">
        <v>270</v>
      </c>
      <c r="E16" s="2" t="s">
        <v>238</v>
      </c>
      <c r="F16" s="2"/>
      <c r="G16" s="2"/>
      <c r="H16" s="2"/>
    </row>
    <row r="17" spans="1:8" x14ac:dyDescent="0.3">
      <c r="A17" s="2" t="s">
        <v>319</v>
      </c>
      <c r="B17" s="3">
        <v>12</v>
      </c>
      <c r="C17" s="3">
        <v>70</v>
      </c>
      <c r="D17" s="2">
        <v>270</v>
      </c>
      <c r="E17" s="2" t="s">
        <v>238</v>
      </c>
      <c r="F17" s="2"/>
      <c r="G17" s="2"/>
      <c r="H17" s="2"/>
    </row>
    <row r="18" spans="1:8" x14ac:dyDescent="0.3">
      <c r="A18" s="2" t="s">
        <v>433</v>
      </c>
      <c r="B18" s="3">
        <v>47.6</v>
      </c>
      <c r="C18" s="3">
        <v>0</v>
      </c>
      <c r="D18" s="2">
        <v>0</v>
      </c>
      <c r="E18" s="2" t="s">
        <v>238</v>
      </c>
      <c r="F18" s="2"/>
      <c r="G18" s="2">
        <v>4</v>
      </c>
      <c r="H18" s="2">
        <v>5.5</v>
      </c>
    </row>
    <row r="19" spans="1:8" x14ac:dyDescent="0.3">
      <c r="A19" s="2" t="s">
        <v>434</v>
      </c>
      <c r="B19" s="3">
        <v>82.6</v>
      </c>
      <c r="C19" s="3">
        <v>0</v>
      </c>
      <c r="D19" s="2">
        <v>0</v>
      </c>
      <c r="E19" s="2" t="s">
        <v>239</v>
      </c>
      <c r="F19" s="2"/>
      <c r="G19" s="2">
        <v>4</v>
      </c>
      <c r="H19" s="2">
        <v>5.5</v>
      </c>
    </row>
    <row r="20" spans="1:8" x14ac:dyDescent="0.3">
      <c r="A20" s="2" t="s">
        <v>435</v>
      </c>
      <c r="B20" s="3">
        <v>142.6</v>
      </c>
      <c r="C20" s="3">
        <v>0</v>
      </c>
      <c r="D20" s="2">
        <v>0</v>
      </c>
      <c r="E20" s="2" t="s">
        <v>239</v>
      </c>
      <c r="F20" s="2"/>
      <c r="G20" s="2">
        <v>4</v>
      </c>
      <c r="H20" s="2">
        <v>5.5</v>
      </c>
    </row>
    <row r="21" spans="1:8" x14ac:dyDescent="0.3">
      <c r="A21" s="2" t="s">
        <v>436</v>
      </c>
      <c r="B21" s="3">
        <v>180</v>
      </c>
      <c r="C21" s="3">
        <v>64.3</v>
      </c>
      <c r="D21" s="2">
        <v>90</v>
      </c>
      <c r="E21" s="2" t="s">
        <v>239</v>
      </c>
      <c r="F21" s="2"/>
      <c r="G21" s="2">
        <v>4</v>
      </c>
      <c r="H21" s="2">
        <v>5.5</v>
      </c>
    </row>
    <row r="22" spans="1:8" x14ac:dyDescent="0.3">
      <c r="A22" s="2" t="s">
        <v>437</v>
      </c>
      <c r="B22" s="3">
        <v>12</v>
      </c>
      <c r="C22" s="3">
        <v>82.25</v>
      </c>
      <c r="D22" s="2">
        <v>90</v>
      </c>
      <c r="E22" s="2" t="s">
        <v>239</v>
      </c>
      <c r="F22" s="2"/>
      <c r="G22" s="2">
        <v>4</v>
      </c>
      <c r="H22" s="2">
        <v>5.5</v>
      </c>
    </row>
  </sheetData>
  <mergeCells count="1">
    <mergeCell ref="A1:H1"/>
  </mergeCells>
  <phoneticPr fontId="4" type="noConversion"/>
  <dataValidations count="2">
    <dataValidation type="list" allowBlank="1" sqref="D3:D500" xr:uid="{00000000-0002-0000-1300-000000000000}">
      <formula1>"0,90,180,270"</formula1>
    </dataValidation>
    <dataValidation type="list" allowBlank="1" sqref="E3:E500" xr:uid="{00000000-0002-0000-1300-000001000000}">
      <formula1>"open,close"</formula1>
    </dataValidation>
  </dataValidations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"/>
  <sheetViews>
    <sheetView workbookViewId="0">
      <pane ySplit="2" topLeftCell="A3" activePane="bottomLeft" state="frozen"/>
      <selection pane="bottomLeft" sqref="A1:I1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9" customWidth="1"/>
    <col min="6" max="6" width="12" customWidth="1"/>
    <col min="7" max="9" width="8" customWidth="1"/>
  </cols>
  <sheetData>
    <row r="1" spans="1:9" ht="15.6" x14ac:dyDescent="0.3">
      <c r="A1" s="15" t="s">
        <v>240</v>
      </c>
      <c r="B1" s="16"/>
      <c r="C1" s="16"/>
      <c r="D1" s="16"/>
      <c r="E1" s="16"/>
      <c r="F1" s="16"/>
      <c r="G1" s="16"/>
      <c r="H1" s="16"/>
      <c r="I1" s="16"/>
    </row>
    <row r="2" spans="1:9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234</v>
      </c>
      <c r="F2" s="1" t="s">
        <v>6</v>
      </c>
      <c r="G2" s="1" t="s">
        <v>235</v>
      </c>
      <c r="H2" s="1" t="s">
        <v>236</v>
      </c>
      <c r="I2" s="1" t="s">
        <v>237</v>
      </c>
    </row>
  </sheetData>
  <mergeCells count="1">
    <mergeCell ref="A1:I1"/>
  </mergeCells>
  <dataValidations count="2">
    <dataValidation type="list" allowBlank="1" sqref="D3:D500" xr:uid="{00000000-0002-0000-1400-000000000000}">
      <formula1>"0,90,180,270"</formula1>
    </dataValidation>
    <dataValidation type="list" allowBlank="1" sqref="E3:E500" xr:uid="{00000000-0002-0000-1400-000001000000}">
      <formula1>"open,close"</formula1>
    </dataValidation>
  </dataValidations>
  <pageMargins left="0.75" right="0.75" top="1" bottom="1" header="0.5" footer="0.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4" customWidth="1"/>
    <col min="2" max="3" width="8" customWidth="1"/>
    <col min="4" max="4" width="14" customWidth="1"/>
    <col min="5" max="5" width="12" customWidth="1"/>
    <col min="6" max="6" width="9" customWidth="1"/>
    <col min="7" max="7" width="12" customWidth="1"/>
    <col min="8" max="10" width="8" customWidth="1"/>
  </cols>
  <sheetData>
    <row r="1" spans="1:10" ht="15.6" x14ac:dyDescent="0.3">
      <c r="A1" s="15" t="s">
        <v>247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">
      <c r="A2" s="1" t="s">
        <v>1</v>
      </c>
      <c r="B2" s="1" t="s">
        <v>17</v>
      </c>
      <c r="C2" s="1" t="s">
        <v>18</v>
      </c>
      <c r="D2" s="1" t="s">
        <v>248</v>
      </c>
      <c r="E2" s="1" t="s">
        <v>20</v>
      </c>
      <c r="F2" s="1" t="s">
        <v>234</v>
      </c>
      <c r="G2" s="1" t="s">
        <v>6</v>
      </c>
      <c r="H2" s="1" t="s">
        <v>235</v>
      </c>
      <c r="I2" s="1" t="s">
        <v>236</v>
      </c>
      <c r="J2" s="1" t="s">
        <v>237</v>
      </c>
    </row>
    <row r="3" spans="1:10" x14ac:dyDescent="0.3">
      <c r="A3" s="2"/>
      <c r="B3" s="3"/>
      <c r="C3" s="3"/>
      <c r="D3" s="3"/>
      <c r="E3" s="2"/>
      <c r="F3" s="2"/>
      <c r="G3" s="2"/>
      <c r="H3" s="2"/>
      <c r="I3" s="2"/>
      <c r="J3" s="2"/>
    </row>
  </sheetData>
  <mergeCells count="1">
    <mergeCell ref="A1:J1"/>
  </mergeCells>
  <dataValidations count="2">
    <dataValidation type="list" allowBlank="1" sqref="E3:E500" xr:uid="{00000000-0002-0000-1900-000000000000}">
      <formula1>"0,90,180,270"</formula1>
    </dataValidation>
    <dataValidation type="list" allowBlank="1" sqref="F3:F500" xr:uid="{00000000-0002-0000-1900-000001000000}">
      <formula1>"open,close"</formula1>
    </dataValidation>
  </dataValidations>
  <pageMargins left="0.75" right="0.75" top="1" bottom="1" header="0.5" footer="0.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2" customWidth="1"/>
    <col min="2" max="3" width="8" customWidth="1"/>
    <col min="4" max="4" width="15" customWidth="1"/>
    <col min="5" max="5" width="12" customWidth="1"/>
    <col min="6" max="8" width="8" customWidth="1"/>
  </cols>
  <sheetData>
    <row r="1" spans="1:8" ht="15.6" x14ac:dyDescent="0.3">
      <c r="A1" s="15" t="s">
        <v>286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284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/>
      <c r="B3" s="3"/>
      <c r="C3" s="3"/>
      <c r="D3" s="3"/>
      <c r="E3" s="2"/>
      <c r="F3" s="2"/>
      <c r="G3" s="2"/>
      <c r="H3" s="2"/>
    </row>
  </sheetData>
  <mergeCells count="1">
    <mergeCell ref="A1:H1"/>
  </mergeCells>
  <pageMargins left="0.75" right="0.75" top="1" bottom="1" header="0.5" footer="0.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3"/>
  <sheetViews>
    <sheetView workbookViewId="0">
      <pane ySplit="2" topLeftCell="A3" activePane="bottomLeft" state="frozen"/>
      <selection pane="bottomLeft" activeCell="A3" sqref="A3:XFD3"/>
    </sheetView>
  </sheetViews>
  <sheetFormatPr defaultRowHeight="14.4" x14ac:dyDescent="0.3"/>
  <cols>
    <col min="1" max="1" width="12" customWidth="1"/>
    <col min="2" max="3" width="8" customWidth="1"/>
    <col min="4" max="4" width="15" customWidth="1"/>
    <col min="5" max="5" width="12" customWidth="1"/>
    <col min="6" max="8" width="8" customWidth="1"/>
  </cols>
  <sheetData>
    <row r="1" spans="1:8" ht="15.6" x14ac:dyDescent="0.3">
      <c r="A1" s="15" t="s">
        <v>283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284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/>
      <c r="B3" s="3"/>
      <c r="C3" s="3"/>
      <c r="D3" s="3"/>
      <c r="E3" s="2"/>
      <c r="F3" s="2"/>
      <c r="G3" s="2"/>
      <c r="H3" s="2"/>
    </row>
  </sheetData>
  <mergeCells count="1">
    <mergeCell ref="A1:H1"/>
  </mergeCells>
  <pageMargins left="0.75" right="0.75" top="1" bottom="1" header="0.5" footer="0.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"/>
  <sheetViews>
    <sheetView workbookViewId="0">
      <pane ySplit="2" topLeftCell="A3" activePane="bottomLeft" state="frozen"/>
      <selection pane="bottomLeft" activeCell="F4" sqref="F4"/>
    </sheetView>
  </sheetViews>
  <sheetFormatPr defaultRowHeight="14.4" x14ac:dyDescent="0.3"/>
  <cols>
    <col min="1" max="1" width="12" customWidth="1"/>
    <col min="2" max="3" width="8" customWidth="1"/>
    <col min="4" max="4" width="12" customWidth="1"/>
    <col min="5" max="5" width="16" customWidth="1"/>
    <col min="6" max="6" width="12" customWidth="1"/>
  </cols>
  <sheetData>
    <row r="1" spans="1:6" ht="15.6" x14ac:dyDescent="0.3">
      <c r="A1" s="15" t="s">
        <v>68</v>
      </c>
      <c r="B1" s="16"/>
      <c r="C1" s="16"/>
      <c r="D1" s="16"/>
      <c r="E1" s="16"/>
      <c r="F1" s="16"/>
    </row>
    <row r="2" spans="1:6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61</v>
      </c>
      <c r="F2" s="1" t="s">
        <v>6</v>
      </c>
    </row>
    <row r="3" spans="1:6" x14ac:dyDescent="0.3">
      <c r="A3" t="s">
        <v>68</v>
      </c>
      <c r="B3">
        <v>165</v>
      </c>
      <c r="C3">
        <v>25</v>
      </c>
      <c r="D3">
        <v>0</v>
      </c>
      <c r="E3">
        <v>2</v>
      </c>
    </row>
  </sheetData>
  <mergeCells count="1">
    <mergeCell ref="A1:F1"/>
  </mergeCells>
  <dataValidations count="1">
    <dataValidation type="list" allowBlank="1" sqref="D3:D500" xr:uid="{00000000-0002-0000-0E00-000000000000}">
      <formula1>"0,90,180,270"</formula1>
    </dataValidation>
  </dataValidations>
  <pageMargins left="0.75" right="0.75" top="1" bottom="1" header="0.5" footer="0.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9"/>
  <sheetViews>
    <sheetView workbookViewId="0">
      <pane ySplit="2" topLeftCell="A3" activePane="bottomLeft" state="frozen"/>
      <selection pane="bottomLeft" activeCell="B10" sqref="B10"/>
    </sheetView>
  </sheetViews>
  <sheetFormatPr defaultRowHeight="14.4" x14ac:dyDescent="0.3"/>
  <cols>
    <col min="1" max="1" width="12" customWidth="1"/>
    <col min="2" max="3" width="8" customWidth="1"/>
    <col min="4" max="5" width="12" customWidth="1"/>
    <col min="6" max="8" width="8" customWidth="1"/>
  </cols>
  <sheetData>
    <row r="1" spans="1:8" ht="15.6" x14ac:dyDescent="0.3">
      <c r="A1" s="15" t="s">
        <v>255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</v>
      </c>
      <c r="F2" s="1" t="s">
        <v>235</v>
      </c>
      <c r="G2" s="1" t="s">
        <v>236</v>
      </c>
      <c r="H2" s="1" t="s">
        <v>237</v>
      </c>
    </row>
    <row r="3" spans="1:8" x14ac:dyDescent="0.3">
      <c r="A3" s="2" t="s">
        <v>256</v>
      </c>
      <c r="B3" s="3">
        <v>45.3</v>
      </c>
      <c r="C3" s="3">
        <v>-8</v>
      </c>
      <c r="D3" s="2">
        <v>180</v>
      </c>
      <c r="E3" s="2"/>
      <c r="F3" s="2"/>
      <c r="G3" s="2"/>
      <c r="H3" s="3">
        <v>1.5</v>
      </c>
    </row>
    <row r="4" spans="1:8" x14ac:dyDescent="0.3">
      <c r="A4" s="2" t="s">
        <v>257</v>
      </c>
      <c r="B4" s="3">
        <v>84.7</v>
      </c>
      <c r="C4" s="3">
        <v>-8</v>
      </c>
      <c r="D4" s="2">
        <v>180</v>
      </c>
      <c r="E4" s="2"/>
      <c r="F4" s="2"/>
      <c r="G4" s="2"/>
      <c r="H4" s="3">
        <v>1.5</v>
      </c>
    </row>
    <row r="5" spans="1:8" x14ac:dyDescent="0.3">
      <c r="A5" s="2" t="s">
        <v>258</v>
      </c>
      <c r="B5" s="3">
        <v>140.19999999999999</v>
      </c>
      <c r="C5" s="3">
        <v>-8</v>
      </c>
      <c r="D5" s="2">
        <v>180</v>
      </c>
      <c r="E5" s="2"/>
      <c r="F5" s="2"/>
      <c r="G5" s="2"/>
      <c r="H5" s="3">
        <v>1.5</v>
      </c>
    </row>
    <row r="6" spans="1:8" x14ac:dyDescent="0.3">
      <c r="A6" s="2" t="s">
        <v>420</v>
      </c>
      <c r="B6" s="4">
        <v>183</v>
      </c>
      <c r="C6" s="20">
        <v>66.7</v>
      </c>
      <c r="D6" s="20">
        <v>270</v>
      </c>
      <c r="E6" s="4"/>
      <c r="F6" s="4"/>
      <c r="G6" s="4"/>
      <c r="H6" s="20">
        <v>1.5</v>
      </c>
    </row>
    <row r="7" spans="1:8" x14ac:dyDescent="0.3">
      <c r="A7" s="2" t="s">
        <v>422</v>
      </c>
      <c r="B7" s="4">
        <v>9</v>
      </c>
      <c r="C7" s="20">
        <v>79.8</v>
      </c>
      <c r="D7" s="20">
        <v>90</v>
      </c>
      <c r="E7" s="4"/>
      <c r="F7" s="4"/>
      <c r="G7" s="4"/>
      <c r="H7" s="20">
        <v>1.5</v>
      </c>
    </row>
    <row r="8" spans="1:8" x14ac:dyDescent="0.3">
      <c r="A8" s="2" t="s">
        <v>508</v>
      </c>
      <c r="B8" s="4">
        <v>-1</v>
      </c>
      <c r="C8" s="20">
        <v>44.5</v>
      </c>
      <c r="D8" s="20">
        <v>0</v>
      </c>
      <c r="E8" s="4"/>
      <c r="F8" s="4"/>
      <c r="G8" s="4"/>
      <c r="H8" s="20">
        <v>1.5</v>
      </c>
    </row>
    <row r="9" spans="1:8" x14ac:dyDescent="0.3">
      <c r="A9" s="2" t="s">
        <v>509</v>
      </c>
      <c r="B9" s="4">
        <v>180.8</v>
      </c>
      <c r="C9" s="20">
        <v>44.5</v>
      </c>
      <c r="D9" s="20">
        <v>0</v>
      </c>
      <c r="E9" s="4"/>
      <c r="F9" s="4"/>
      <c r="G9" s="4"/>
      <c r="H9" s="20">
        <v>1.5</v>
      </c>
    </row>
  </sheetData>
  <mergeCells count="1">
    <mergeCell ref="A1:H1"/>
  </mergeCells>
  <phoneticPr fontId="4" type="noConversion"/>
  <dataValidations count="1">
    <dataValidation type="list" allowBlank="1" sqref="D3:D500" xr:uid="{00000000-0002-0000-1C00-000000000000}">
      <formula1>"0,90,180,270"</formula1>
    </dataValidation>
  </dataValidations>
  <pageMargins left="0.75" right="0.75" top="1" bottom="1" header="0.5" footer="0.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pane ySplit="2" topLeftCell="A3" activePane="bottomLeft" state="frozen"/>
      <selection pane="bottomLeft" activeCell="B5" sqref="B5"/>
    </sheetView>
  </sheetViews>
  <sheetFormatPr defaultRowHeight="14.4" x14ac:dyDescent="0.3"/>
  <cols>
    <col min="1" max="1" width="43.21875" customWidth="1"/>
    <col min="2" max="3" width="8" customWidth="1"/>
    <col min="4" max="4" width="16" customWidth="1"/>
    <col min="5" max="6" width="12" customWidth="1"/>
  </cols>
  <sheetData>
    <row r="1" spans="1:7" ht="15.6" x14ac:dyDescent="0.3">
      <c r="A1" s="19" t="s">
        <v>16</v>
      </c>
      <c r="B1" s="19"/>
      <c r="C1" s="19"/>
      <c r="D1" s="19"/>
      <c r="E1" s="19"/>
      <c r="F1" s="19"/>
      <c r="G1" s="19"/>
    </row>
    <row r="2" spans="1:7" x14ac:dyDescent="0.3">
      <c r="A2" s="1" t="s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9" t="s">
        <v>6</v>
      </c>
      <c r="G2" s="9" t="s">
        <v>330</v>
      </c>
    </row>
    <row r="3" spans="1:7" x14ac:dyDescent="0.3">
      <c r="A3" s="2" t="s">
        <v>328</v>
      </c>
      <c r="B3" s="3">
        <v>5</v>
      </c>
      <c r="C3" s="3">
        <v>9</v>
      </c>
      <c r="D3" s="2" t="s">
        <v>329</v>
      </c>
      <c r="E3" s="2">
        <v>90</v>
      </c>
      <c r="F3" s="2" t="s">
        <v>21</v>
      </c>
      <c r="G3" s="7">
        <v>5</v>
      </c>
    </row>
    <row r="4" spans="1:7" x14ac:dyDescent="0.3">
      <c r="A4" s="2" t="s">
        <v>331</v>
      </c>
      <c r="B4" s="3">
        <v>92</v>
      </c>
      <c r="C4" s="3">
        <v>20</v>
      </c>
      <c r="D4" s="2" t="s">
        <v>332</v>
      </c>
      <c r="E4" s="2">
        <v>0</v>
      </c>
      <c r="F4" s="2" t="s">
        <v>21</v>
      </c>
      <c r="G4" s="7">
        <v>5</v>
      </c>
    </row>
    <row r="5" spans="1:7" x14ac:dyDescent="0.3">
      <c r="A5" s="2" t="s">
        <v>333</v>
      </c>
      <c r="B5" s="3">
        <v>42</v>
      </c>
      <c r="C5" s="3">
        <v>27</v>
      </c>
      <c r="D5" s="2" t="s">
        <v>323</v>
      </c>
      <c r="E5" s="2">
        <v>90</v>
      </c>
      <c r="F5" s="2" t="s">
        <v>21</v>
      </c>
      <c r="G5" s="7">
        <v>3</v>
      </c>
    </row>
    <row r="6" spans="1:7" x14ac:dyDescent="0.3">
      <c r="A6" s="2" t="s">
        <v>334</v>
      </c>
      <c r="B6" s="3">
        <v>174</v>
      </c>
      <c r="C6" s="3">
        <v>27</v>
      </c>
      <c r="D6" s="2" t="s">
        <v>327</v>
      </c>
      <c r="E6" s="2">
        <v>90</v>
      </c>
      <c r="F6" s="2" t="s">
        <v>21</v>
      </c>
      <c r="G6" s="7">
        <v>3</v>
      </c>
    </row>
    <row r="7" spans="1:7" x14ac:dyDescent="0.3">
      <c r="A7" s="7" t="s">
        <v>336</v>
      </c>
      <c r="B7" s="6">
        <v>70</v>
      </c>
      <c r="C7" s="6">
        <v>93</v>
      </c>
      <c r="D7" s="7" t="s">
        <v>335</v>
      </c>
      <c r="E7" s="7">
        <v>0</v>
      </c>
      <c r="F7" s="2" t="s">
        <v>21</v>
      </c>
      <c r="G7" s="10">
        <v>5</v>
      </c>
    </row>
  </sheetData>
  <mergeCells count="1">
    <mergeCell ref="A1:G1"/>
  </mergeCells>
  <dataValidations count="1">
    <dataValidation type="list" allowBlank="1" sqref="E3:E500" xr:uid="{00000000-0002-0000-0200-000000000000}">
      <formula1>"0,90,180,270"</formula1>
    </dataValidation>
  </dataValidations>
  <pageMargins left="0.75" right="0.75" top="1" bottom="1" header="0.5" footer="0.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5"/>
  <sheetViews>
    <sheetView workbookViewId="0">
      <pane ySplit="2" topLeftCell="A30" activePane="bottomLeft" state="frozen"/>
      <selection pane="bottomLeft" activeCell="B46" sqref="B46"/>
    </sheetView>
  </sheetViews>
  <sheetFormatPr defaultRowHeight="14.4" x14ac:dyDescent="0.3"/>
  <cols>
    <col min="1" max="1" width="16.5546875" customWidth="1"/>
    <col min="2" max="3" width="8" customWidth="1"/>
    <col min="4" max="5" width="12" customWidth="1"/>
  </cols>
  <sheetData>
    <row r="1" spans="1:8" ht="15.6" x14ac:dyDescent="0.3">
      <c r="A1" s="15" t="s">
        <v>69</v>
      </c>
      <c r="B1" s="16"/>
      <c r="C1" s="16"/>
      <c r="D1" s="16"/>
      <c r="E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63</v>
      </c>
    </row>
    <row r="3" spans="1:8" x14ac:dyDescent="0.3">
      <c r="A3" s="2" t="s">
        <v>70</v>
      </c>
      <c r="B3" s="3">
        <v>28.5</v>
      </c>
      <c r="C3" s="3">
        <f>G3+H3</f>
        <v>-23</v>
      </c>
      <c r="D3" s="2">
        <v>0</v>
      </c>
      <c r="E3" s="2" t="s">
        <v>71</v>
      </c>
      <c r="G3" s="3">
        <v>-23</v>
      </c>
    </row>
    <row r="4" spans="1:8" x14ac:dyDescent="0.3">
      <c r="A4" s="2" t="s">
        <v>72</v>
      </c>
      <c r="B4" s="3">
        <v>33.5</v>
      </c>
      <c r="C4" s="3">
        <f t="shared" ref="C4:C14" si="0">G4+H4</f>
        <v>-23</v>
      </c>
      <c r="D4" s="2">
        <v>0</v>
      </c>
      <c r="E4" s="2" t="s">
        <v>71</v>
      </c>
      <c r="G4" s="3">
        <v>-23</v>
      </c>
    </row>
    <row r="5" spans="1:8" x14ac:dyDescent="0.3">
      <c r="A5" s="2" t="s">
        <v>73</v>
      </c>
      <c r="B5" s="3">
        <v>38.5</v>
      </c>
      <c r="C5" s="3">
        <f t="shared" si="0"/>
        <v>-23</v>
      </c>
      <c r="D5" s="2">
        <v>0</v>
      </c>
      <c r="E5" s="2" t="s">
        <v>71</v>
      </c>
      <c r="G5" s="3">
        <v>-23</v>
      </c>
    </row>
    <row r="6" spans="1:8" x14ac:dyDescent="0.3">
      <c r="A6" s="2" t="s">
        <v>74</v>
      </c>
      <c r="B6" s="3">
        <v>88.2</v>
      </c>
      <c r="C6" s="3">
        <f t="shared" si="0"/>
        <v>-18.5</v>
      </c>
      <c r="D6" s="2">
        <v>0</v>
      </c>
      <c r="E6" s="2" t="s">
        <v>438</v>
      </c>
      <c r="G6" s="3">
        <v>-23</v>
      </c>
      <c r="H6">
        <v>4.5</v>
      </c>
    </row>
    <row r="7" spans="1:8" x14ac:dyDescent="0.3">
      <c r="A7" s="2" t="s">
        <v>75</v>
      </c>
      <c r="B7" s="3">
        <v>93.2</v>
      </c>
      <c r="C7" s="3">
        <f t="shared" si="0"/>
        <v>-18.5</v>
      </c>
      <c r="D7" s="2">
        <v>0</v>
      </c>
      <c r="E7" s="2" t="s">
        <v>438</v>
      </c>
      <c r="G7" s="3">
        <v>-23</v>
      </c>
      <c r="H7">
        <v>4.5</v>
      </c>
    </row>
    <row r="8" spans="1:8" x14ac:dyDescent="0.3">
      <c r="A8" s="2" t="s">
        <v>76</v>
      </c>
      <c r="B8" s="3">
        <v>98.2</v>
      </c>
      <c r="C8" s="3">
        <f t="shared" si="0"/>
        <v>-23</v>
      </c>
      <c r="D8" s="2">
        <v>0</v>
      </c>
      <c r="E8" s="2" t="s">
        <v>71</v>
      </c>
      <c r="G8" s="3">
        <v>-23</v>
      </c>
    </row>
    <row r="9" spans="1:8" x14ac:dyDescent="0.3">
      <c r="A9" s="2" t="s">
        <v>77</v>
      </c>
      <c r="B9" s="3">
        <v>103.2</v>
      </c>
      <c r="C9" s="3">
        <f t="shared" si="0"/>
        <v>-23</v>
      </c>
      <c r="D9" s="2">
        <v>0</v>
      </c>
      <c r="E9" s="2" t="s">
        <v>71</v>
      </c>
      <c r="G9" s="3">
        <v>-23</v>
      </c>
    </row>
    <row r="10" spans="1:8" x14ac:dyDescent="0.3">
      <c r="A10" s="2" t="s">
        <v>78</v>
      </c>
      <c r="B10" s="3">
        <v>108.2</v>
      </c>
      <c r="C10" s="3">
        <f t="shared" si="0"/>
        <v>-23</v>
      </c>
      <c r="D10" s="2">
        <v>0</v>
      </c>
      <c r="E10" s="2" t="s">
        <v>71</v>
      </c>
      <c r="G10" s="3">
        <v>-23</v>
      </c>
    </row>
    <row r="11" spans="1:8" x14ac:dyDescent="0.3">
      <c r="A11" s="2" t="s">
        <v>79</v>
      </c>
      <c r="B11" s="3">
        <v>113.2</v>
      </c>
      <c r="C11" s="3">
        <f t="shared" si="0"/>
        <v>-23</v>
      </c>
      <c r="D11" s="2">
        <v>0</v>
      </c>
      <c r="E11" s="2" t="s">
        <v>71</v>
      </c>
      <c r="G11" s="3">
        <v>-23</v>
      </c>
    </row>
    <row r="12" spans="1:8" x14ac:dyDescent="0.3">
      <c r="A12" s="2" t="s">
        <v>80</v>
      </c>
      <c r="B12" s="3">
        <v>120.8</v>
      </c>
      <c r="C12" s="3">
        <f t="shared" si="0"/>
        <v>-23</v>
      </c>
      <c r="D12" s="2">
        <v>0</v>
      </c>
      <c r="E12" s="2" t="s">
        <v>71</v>
      </c>
      <c r="G12" s="3">
        <v>-23</v>
      </c>
    </row>
    <row r="13" spans="1:8" x14ac:dyDescent="0.3">
      <c r="A13" s="2" t="s">
        <v>81</v>
      </c>
      <c r="B13" s="3">
        <v>125.8</v>
      </c>
      <c r="C13" s="3">
        <f t="shared" si="0"/>
        <v>-18.5</v>
      </c>
      <c r="D13" s="2">
        <v>0</v>
      </c>
      <c r="E13" s="2" t="s">
        <v>438</v>
      </c>
      <c r="G13" s="3">
        <v>-23</v>
      </c>
      <c r="H13">
        <v>4.5</v>
      </c>
    </row>
    <row r="14" spans="1:8" x14ac:dyDescent="0.3">
      <c r="A14" s="2" t="s">
        <v>82</v>
      </c>
      <c r="B14" s="3">
        <v>130.80000000000001</v>
      </c>
      <c r="C14" s="3">
        <f t="shared" si="0"/>
        <v>-18.5</v>
      </c>
      <c r="D14" s="2">
        <v>0</v>
      </c>
      <c r="E14" s="2" t="s">
        <v>438</v>
      </c>
      <c r="G14" s="3">
        <v>-23</v>
      </c>
      <c r="H14">
        <v>4.5</v>
      </c>
    </row>
    <row r="15" spans="1:8" x14ac:dyDescent="0.3">
      <c r="A15" s="2" t="s">
        <v>339</v>
      </c>
      <c r="B15" s="3">
        <v>180.1</v>
      </c>
      <c r="C15" s="3">
        <f>G15-H15</f>
        <v>73</v>
      </c>
      <c r="D15" s="2">
        <v>90</v>
      </c>
      <c r="E15" s="2" t="s">
        <v>71</v>
      </c>
      <c r="G15" s="3">
        <v>77.5</v>
      </c>
      <c r="H15">
        <v>4.5</v>
      </c>
    </row>
    <row r="16" spans="1:8" x14ac:dyDescent="0.3">
      <c r="A16" s="2" t="s">
        <v>340</v>
      </c>
      <c r="B16" s="3">
        <v>180.1</v>
      </c>
      <c r="C16" s="3">
        <f t="shared" ref="C16:C18" si="1">G16-H16</f>
        <v>78</v>
      </c>
      <c r="D16" s="2">
        <v>90</v>
      </c>
      <c r="E16" s="2" t="s">
        <v>71</v>
      </c>
      <c r="G16" s="3">
        <v>82.5</v>
      </c>
      <c r="H16">
        <v>4.5</v>
      </c>
    </row>
    <row r="17" spans="1:8" x14ac:dyDescent="0.3">
      <c r="A17" s="2" t="s">
        <v>341</v>
      </c>
      <c r="B17" s="3">
        <v>180.1</v>
      </c>
      <c r="C17" s="3">
        <f t="shared" si="1"/>
        <v>83</v>
      </c>
      <c r="D17" s="2">
        <v>90</v>
      </c>
      <c r="E17" s="2" t="s">
        <v>71</v>
      </c>
      <c r="G17" s="3">
        <v>87.5</v>
      </c>
      <c r="H17">
        <v>4.5</v>
      </c>
    </row>
    <row r="18" spans="1:8" x14ac:dyDescent="0.3">
      <c r="A18" s="2" t="s">
        <v>342</v>
      </c>
      <c r="B18" s="3">
        <v>180.1</v>
      </c>
      <c r="C18" s="3">
        <f t="shared" si="1"/>
        <v>88</v>
      </c>
      <c r="D18" s="2">
        <v>90</v>
      </c>
      <c r="E18" s="2" t="s">
        <v>71</v>
      </c>
      <c r="G18" s="3">
        <v>92.5</v>
      </c>
      <c r="H18">
        <v>4.5</v>
      </c>
    </row>
    <row r="19" spans="1:8" x14ac:dyDescent="0.3">
      <c r="A19" s="2" t="s">
        <v>439</v>
      </c>
      <c r="B19" s="20">
        <v>15.5</v>
      </c>
      <c r="C19" s="4">
        <v>-49</v>
      </c>
      <c r="D19" s="21">
        <v>180</v>
      </c>
      <c r="E19" s="2" t="s">
        <v>71</v>
      </c>
      <c r="G19" s="20"/>
    </row>
    <row r="20" spans="1:8" x14ac:dyDescent="0.3">
      <c r="A20" s="2" t="s">
        <v>440</v>
      </c>
      <c r="B20" s="20">
        <f>B19+H20</f>
        <v>20.5</v>
      </c>
      <c r="C20" s="4">
        <v>-49</v>
      </c>
      <c r="D20" s="21">
        <v>180</v>
      </c>
      <c r="E20" s="2" t="s">
        <v>71</v>
      </c>
      <c r="G20" s="20"/>
      <c r="H20">
        <v>5</v>
      </c>
    </row>
    <row r="21" spans="1:8" x14ac:dyDescent="0.3">
      <c r="A21" s="2" t="s">
        <v>441</v>
      </c>
      <c r="B21" s="20">
        <f t="shared" ref="B21:B30" si="2">B20+H21</f>
        <v>25.5</v>
      </c>
      <c r="C21" s="4">
        <v>-49</v>
      </c>
      <c r="D21" s="21">
        <v>180</v>
      </c>
      <c r="E21" s="2" t="s">
        <v>71</v>
      </c>
      <c r="G21" s="20"/>
      <c r="H21">
        <v>5</v>
      </c>
    </row>
    <row r="22" spans="1:8" x14ac:dyDescent="0.3">
      <c r="A22" s="2" t="s">
        <v>442</v>
      </c>
      <c r="B22" s="20">
        <f t="shared" si="2"/>
        <v>30.5</v>
      </c>
      <c r="C22" s="4">
        <v>-49</v>
      </c>
      <c r="D22" s="21">
        <v>180</v>
      </c>
      <c r="E22" s="2" t="s">
        <v>71</v>
      </c>
      <c r="G22" s="20"/>
      <c r="H22">
        <v>5</v>
      </c>
    </row>
    <row r="23" spans="1:8" x14ac:dyDescent="0.3">
      <c r="A23" s="2" t="s">
        <v>443</v>
      </c>
      <c r="B23" s="20">
        <f t="shared" si="2"/>
        <v>35.5</v>
      </c>
      <c r="C23" s="4">
        <v>-49</v>
      </c>
      <c r="D23" s="21">
        <v>180</v>
      </c>
      <c r="E23" s="2" t="s">
        <v>71</v>
      </c>
      <c r="G23" s="20"/>
      <c r="H23">
        <v>5</v>
      </c>
    </row>
    <row r="24" spans="1:8" x14ac:dyDescent="0.3">
      <c r="A24" s="2" t="s">
        <v>444</v>
      </c>
      <c r="B24" s="20">
        <f t="shared" si="2"/>
        <v>40.5</v>
      </c>
      <c r="C24" s="4">
        <v>-49</v>
      </c>
      <c r="D24" s="21">
        <v>180</v>
      </c>
      <c r="E24" s="2" t="s">
        <v>71</v>
      </c>
      <c r="G24" s="20"/>
      <c r="H24">
        <v>5</v>
      </c>
    </row>
    <row r="25" spans="1:8" x14ac:dyDescent="0.3">
      <c r="A25" s="2" t="s">
        <v>445</v>
      </c>
      <c r="B25" s="20">
        <f t="shared" si="2"/>
        <v>45.5</v>
      </c>
      <c r="C25" s="4">
        <v>-49</v>
      </c>
      <c r="D25" s="21">
        <v>180</v>
      </c>
      <c r="E25" s="2" t="s">
        <v>71</v>
      </c>
      <c r="G25" s="20"/>
      <c r="H25">
        <v>5</v>
      </c>
    </row>
    <row r="26" spans="1:8" x14ac:dyDescent="0.3">
      <c r="A26" s="2" t="s">
        <v>446</v>
      </c>
      <c r="B26" s="20">
        <f t="shared" si="2"/>
        <v>50.5</v>
      </c>
      <c r="C26" s="4">
        <v>-49</v>
      </c>
      <c r="D26" s="21">
        <v>180</v>
      </c>
      <c r="E26" s="2" t="s">
        <v>438</v>
      </c>
      <c r="G26" s="20"/>
      <c r="H26">
        <v>5</v>
      </c>
    </row>
    <row r="27" spans="1:8" x14ac:dyDescent="0.3">
      <c r="A27" s="2" t="s">
        <v>447</v>
      </c>
      <c r="B27" s="20">
        <f t="shared" si="2"/>
        <v>55.5</v>
      </c>
      <c r="C27" s="4">
        <v>-49</v>
      </c>
      <c r="D27" s="21">
        <v>180</v>
      </c>
      <c r="E27" s="2" t="s">
        <v>438</v>
      </c>
      <c r="G27" s="20"/>
      <c r="H27">
        <v>5</v>
      </c>
    </row>
    <row r="28" spans="1:8" x14ac:dyDescent="0.3">
      <c r="A28" s="2" t="s">
        <v>448</v>
      </c>
      <c r="B28" s="20">
        <f t="shared" si="2"/>
        <v>60.5</v>
      </c>
      <c r="C28" s="4">
        <v>-49</v>
      </c>
      <c r="D28" s="21">
        <v>180</v>
      </c>
      <c r="E28" s="2" t="s">
        <v>438</v>
      </c>
      <c r="G28" s="20"/>
      <c r="H28">
        <v>5</v>
      </c>
    </row>
    <row r="29" spans="1:8" x14ac:dyDescent="0.3">
      <c r="A29" s="2" t="s">
        <v>449</v>
      </c>
      <c r="B29" s="20">
        <f t="shared" si="2"/>
        <v>65.5</v>
      </c>
      <c r="C29" s="4">
        <v>-49</v>
      </c>
      <c r="D29" s="21">
        <v>180</v>
      </c>
      <c r="E29" s="2" t="s">
        <v>438</v>
      </c>
      <c r="G29" s="20"/>
      <c r="H29">
        <v>5</v>
      </c>
    </row>
    <row r="30" spans="1:8" x14ac:dyDescent="0.3">
      <c r="A30" s="2" t="s">
        <v>450</v>
      </c>
      <c r="B30" s="20">
        <f t="shared" si="2"/>
        <v>70.5</v>
      </c>
      <c r="C30" s="4">
        <v>-49</v>
      </c>
      <c r="D30" s="21">
        <v>180</v>
      </c>
      <c r="E30" s="2" t="s">
        <v>438</v>
      </c>
      <c r="G30" s="20"/>
      <c r="H30">
        <v>5</v>
      </c>
    </row>
    <row r="31" spans="1:8" x14ac:dyDescent="0.3">
      <c r="A31" s="21" t="s">
        <v>451</v>
      </c>
      <c r="B31">
        <v>51</v>
      </c>
      <c r="C31" s="4">
        <v>-18</v>
      </c>
      <c r="D31" s="21">
        <v>0</v>
      </c>
      <c r="E31" s="21" t="s">
        <v>452</v>
      </c>
    </row>
    <row r="32" spans="1:8" x14ac:dyDescent="0.3">
      <c r="A32" s="21" t="s">
        <v>453</v>
      </c>
      <c r="B32">
        <f>B31+H32</f>
        <v>54.33</v>
      </c>
      <c r="C32" s="4">
        <v>-18</v>
      </c>
      <c r="D32" s="21">
        <v>0</v>
      </c>
      <c r="E32" s="21" t="s">
        <v>452</v>
      </c>
      <c r="H32">
        <v>3.33</v>
      </c>
    </row>
    <row r="33" spans="1:8" x14ac:dyDescent="0.3">
      <c r="A33" s="21" t="s">
        <v>454</v>
      </c>
      <c r="B33">
        <f t="shared" ref="B33:B37" si="3">B32+H33</f>
        <v>57.66</v>
      </c>
      <c r="C33" s="4">
        <v>-18</v>
      </c>
      <c r="D33" s="21">
        <v>0</v>
      </c>
      <c r="E33" s="21" t="s">
        <v>452</v>
      </c>
      <c r="H33">
        <v>3.33</v>
      </c>
    </row>
    <row r="34" spans="1:8" x14ac:dyDescent="0.3">
      <c r="A34" s="21" t="s">
        <v>455</v>
      </c>
      <c r="B34">
        <f t="shared" si="3"/>
        <v>60.989999999999995</v>
      </c>
      <c r="C34" s="4">
        <v>-18</v>
      </c>
      <c r="D34" s="21">
        <v>0</v>
      </c>
      <c r="E34" s="21" t="s">
        <v>452</v>
      </c>
      <c r="H34">
        <v>3.33</v>
      </c>
    </row>
    <row r="35" spans="1:8" x14ac:dyDescent="0.3">
      <c r="A35" s="21" t="s">
        <v>456</v>
      </c>
      <c r="B35">
        <f t="shared" si="3"/>
        <v>64.319999999999993</v>
      </c>
      <c r="C35" s="4">
        <v>-18</v>
      </c>
      <c r="D35" s="21">
        <v>0</v>
      </c>
      <c r="E35" s="21" t="s">
        <v>452</v>
      </c>
      <c r="H35">
        <v>3.33</v>
      </c>
    </row>
    <row r="36" spans="1:8" x14ac:dyDescent="0.3">
      <c r="A36" s="21" t="s">
        <v>457</v>
      </c>
      <c r="B36">
        <f t="shared" si="3"/>
        <v>67.649999999999991</v>
      </c>
      <c r="C36" s="4">
        <v>-18</v>
      </c>
      <c r="D36" s="21">
        <v>0</v>
      </c>
      <c r="E36" s="21" t="s">
        <v>452</v>
      </c>
      <c r="H36">
        <v>3.33</v>
      </c>
    </row>
    <row r="37" spans="1:8" x14ac:dyDescent="0.3">
      <c r="A37" s="21" t="s">
        <v>458</v>
      </c>
      <c r="B37">
        <f t="shared" si="3"/>
        <v>70.97999999999999</v>
      </c>
      <c r="C37" s="4">
        <v>-18</v>
      </c>
      <c r="D37" s="21">
        <v>0</v>
      </c>
      <c r="E37" s="21" t="s">
        <v>452</v>
      </c>
      <c r="H37">
        <v>3.33</v>
      </c>
    </row>
    <row r="38" spans="1:8" x14ac:dyDescent="0.3">
      <c r="A38" s="21" t="s">
        <v>459</v>
      </c>
      <c r="B38">
        <v>145.5</v>
      </c>
      <c r="C38" s="4">
        <v>-18</v>
      </c>
      <c r="D38" s="21">
        <v>0</v>
      </c>
      <c r="E38" s="21" t="s">
        <v>452</v>
      </c>
      <c r="H38">
        <v>50</v>
      </c>
    </row>
    <row r="39" spans="1:8" x14ac:dyDescent="0.3">
      <c r="A39" s="21" t="s">
        <v>460</v>
      </c>
      <c r="B39">
        <f>B38+H39</f>
        <v>148.5</v>
      </c>
      <c r="C39" s="4">
        <v>-18</v>
      </c>
      <c r="D39" s="21">
        <v>0</v>
      </c>
      <c r="E39" s="21" t="s">
        <v>452</v>
      </c>
      <c r="H39">
        <v>3</v>
      </c>
    </row>
    <row r="40" spans="1:8" x14ac:dyDescent="0.3">
      <c r="A40" s="21" t="s">
        <v>461</v>
      </c>
      <c r="B40">
        <f t="shared" ref="B40" si="4">B39+H40</f>
        <v>151.5</v>
      </c>
      <c r="C40" s="4">
        <v>-18</v>
      </c>
      <c r="D40" s="21">
        <v>0</v>
      </c>
      <c r="E40" s="21" t="s">
        <v>452</v>
      </c>
      <c r="H40">
        <v>3</v>
      </c>
    </row>
    <row r="41" spans="1:8" x14ac:dyDescent="0.3">
      <c r="A41" s="21" t="s">
        <v>462</v>
      </c>
      <c r="B41">
        <v>193</v>
      </c>
      <c r="C41" s="4">
        <v>50.5</v>
      </c>
      <c r="D41" s="21">
        <v>90</v>
      </c>
      <c r="E41" s="21" t="s">
        <v>452</v>
      </c>
    </row>
    <row r="42" spans="1:8" x14ac:dyDescent="0.3">
      <c r="A42" s="21" t="s">
        <v>463</v>
      </c>
      <c r="B42">
        <v>193</v>
      </c>
      <c r="C42" s="4">
        <v>53.5</v>
      </c>
      <c r="D42" s="21">
        <v>90</v>
      </c>
      <c r="E42" s="21" t="s">
        <v>452</v>
      </c>
    </row>
    <row r="43" spans="1:8" x14ac:dyDescent="0.3">
      <c r="A43" s="21" t="s">
        <v>464</v>
      </c>
      <c r="B43">
        <v>193</v>
      </c>
      <c r="C43" s="4">
        <v>56.5</v>
      </c>
      <c r="D43" s="21">
        <v>90</v>
      </c>
      <c r="E43" s="21" t="s">
        <v>452</v>
      </c>
    </row>
    <row r="44" spans="1:8" x14ac:dyDescent="0.3">
      <c r="A44" s="21" t="s">
        <v>465</v>
      </c>
      <c r="B44">
        <v>3.5</v>
      </c>
      <c r="C44" s="4">
        <v>97.3</v>
      </c>
      <c r="D44" s="21">
        <v>180</v>
      </c>
      <c r="E44" s="21" t="s">
        <v>452</v>
      </c>
    </row>
    <row r="45" spans="1:8" x14ac:dyDescent="0.3">
      <c r="A45" s="21" t="s">
        <v>466</v>
      </c>
      <c r="B45">
        <v>6.5</v>
      </c>
      <c r="C45" s="4">
        <v>97.3</v>
      </c>
      <c r="D45" s="21">
        <v>180</v>
      </c>
      <c r="E45" s="21" t="s">
        <v>452</v>
      </c>
    </row>
  </sheetData>
  <mergeCells count="1">
    <mergeCell ref="A1:E1"/>
  </mergeCells>
  <phoneticPr fontId="4" type="noConversion"/>
  <dataValidations count="2">
    <dataValidation type="list" allowBlank="1" sqref="D3:D492" xr:uid="{00000000-0002-0000-0F00-000000000000}">
      <formula1>"0,90,180,270"</formula1>
    </dataValidation>
    <dataValidation type="list" allowBlank="1" sqref="E3:E492" xr:uid="{00000000-0002-0000-0F00-000001000000}">
      <formula1>"container,jack,4w,6w,12m,car"</formula1>
    </dataValidation>
  </dataValidations>
  <pageMargins left="0.75" right="0.75" top="1" bottom="1" header="0.5" footer="0.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"/>
  <sheetViews>
    <sheetView workbookViewId="0">
      <pane ySplit="2" topLeftCell="A3" activePane="bottomLeft" state="frozen"/>
      <selection pane="bottomLeft" activeCell="B6" sqref="B6"/>
    </sheetView>
  </sheetViews>
  <sheetFormatPr defaultRowHeight="14.4" x14ac:dyDescent="0.3"/>
  <cols>
    <col min="1" max="1" width="10" customWidth="1"/>
    <col min="2" max="5" width="9" customWidth="1"/>
    <col min="6" max="6" width="14" customWidth="1"/>
    <col min="7" max="7" width="12" customWidth="1"/>
    <col min="8" max="8" width="16" customWidth="1"/>
  </cols>
  <sheetData>
    <row r="1" spans="1:11" ht="15.6" x14ac:dyDescent="0.3">
      <c r="A1" s="15" t="s">
        <v>33</v>
      </c>
      <c r="B1" s="16"/>
      <c r="C1" s="16"/>
      <c r="D1" s="16"/>
      <c r="E1" s="16"/>
      <c r="F1" s="16"/>
      <c r="G1" s="16"/>
      <c r="H1" s="16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23</v>
      </c>
      <c r="G2" s="1" t="s">
        <v>6</v>
      </c>
      <c r="H2" s="1" t="s">
        <v>34</v>
      </c>
    </row>
    <row r="3" spans="1:11" x14ac:dyDescent="0.3">
      <c r="A3" s="2" t="s">
        <v>35</v>
      </c>
      <c r="B3" s="3">
        <f>J3+K3</f>
        <v>88</v>
      </c>
      <c r="C3" s="3">
        <v>6</v>
      </c>
      <c r="D3" s="3">
        <v>88</v>
      </c>
      <c r="E3" s="3">
        <v>100</v>
      </c>
      <c r="F3" s="3">
        <v>3</v>
      </c>
      <c r="G3" s="2" t="s">
        <v>36</v>
      </c>
      <c r="H3" s="2" t="s">
        <v>37</v>
      </c>
      <c r="J3" s="3">
        <v>79</v>
      </c>
      <c r="K3">
        <v>9</v>
      </c>
    </row>
    <row r="4" spans="1:11" x14ac:dyDescent="0.3">
      <c r="A4" s="2" t="s">
        <v>38</v>
      </c>
      <c r="B4" s="3">
        <f t="shared" ref="B4" si="0">J4+K4</f>
        <v>88</v>
      </c>
      <c r="C4" s="3">
        <v>6</v>
      </c>
      <c r="D4" s="3">
        <v>112.5</v>
      </c>
      <c r="E4" s="3">
        <v>6</v>
      </c>
      <c r="F4" s="3">
        <v>3</v>
      </c>
      <c r="G4" s="2" t="s">
        <v>36</v>
      </c>
      <c r="H4" s="2" t="s">
        <v>37</v>
      </c>
      <c r="J4" s="3">
        <v>79</v>
      </c>
      <c r="K4">
        <v>9</v>
      </c>
    </row>
    <row r="5" spans="1:11" x14ac:dyDescent="0.3">
      <c r="A5" s="2" t="s">
        <v>39</v>
      </c>
      <c r="B5" s="3">
        <v>112.5</v>
      </c>
      <c r="C5" s="3">
        <v>0</v>
      </c>
      <c r="D5" s="3">
        <v>112.5</v>
      </c>
      <c r="E5" s="3">
        <v>4</v>
      </c>
      <c r="F5" s="3">
        <v>3</v>
      </c>
      <c r="G5" s="2" t="s">
        <v>36</v>
      </c>
      <c r="H5" s="2" t="s">
        <v>37</v>
      </c>
      <c r="J5" s="3">
        <v>100</v>
      </c>
      <c r="K5">
        <v>9</v>
      </c>
    </row>
  </sheetData>
  <mergeCells count="1">
    <mergeCell ref="A1:H1"/>
  </mergeCells>
  <dataValidations count="1">
    <dataValidation type="list" allowBlank="1" sqref="H3:H500" xr:uid="{00000000-0002-0000-0400-000000000000}">
      <formula1>"solid,mesh"</formula1>
    </dataValidation>
  </dataValidations>
  <pageMargins left="0.75" right="0.75" top="1" bottom="1" header="0.5" footer="0.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"/>
  <sheetViews>
    <sheetView workbookViewId="0">
      <pane ySplit="2" topLeftCell="A3" activePane="bottomLeft" state="frozen"/>
      <selection pane="bottomLeft" activeCell="F24" sqref="F24"/>
    </sheetView>
  </sheetViews>
  <sheetFormatPr defaultRowHeight="14.4" x14ac:dyDescent="0.3"/>
  <cols>
    <col min="1" max="1" width="12" customWidth="1"/>
    <col min="2" max="3" width="8" customWidth="1"/>
    <col min="4" max="5" width="10" customWidth="1"/>
    <col min="6" max="6" width="16" customWidth="1"/>
    <col min="7" max="8" width="12" customWidth="1"/>
  </cols>
  <sheetData>
    <row r="1" spans="1:8" ht="15.6" x14ac:dyDescent="0.3">
      <c r="A1" s="15" t="s">
        <v>55</v>
      </c>
      <c r="B1" s="16"/>
      <c r="C1" s="16"/>
      <c r="D1" s="16"/>
      <c r="E1" s="16"/>
      <c r="F1" s="16"/>
      <c r="G1" s="16"/>
      <c r="H1" s="16"/>
    </row>
    <row r="2" spans="1:8" x14ac:dyDescent="0.3">
      <c r="A2" s="1" t="s">
        <v>1</v>
      </c>
      <c r="B2" s="1" t="s">
        <v>17</v>
      </c>
      <c r="C2" s="1" t="s">
        <v>18</v>
      </c>
      <c r="D2" s="1" t="s">
        <v>49</v>
      </c>
      <c r="E2" s="1" t="s">
        <v>50</v>
      </c>
      <c r="F2" s="1" t="s">
        <v>56</v>
      </c>
      <c r="G2" s="1" t="s">
        <v>20</v>
      </c>
      <c r="H2" s="1" t="s">
        <v>6</v>
      </c>
    </row>
  </sheetData>
  <mergeCells count="1">
    <mergeCell ref="A1:H1"/>
  </mergeCells>
  <dataValidations count="1">
    <dataValidation type="list" allowBlank="1" sqref="G3:G500" xr:uid="{00000000-0002-0000-0A00-000000000000}">
      <formula1>"0,90,180,270"</formula1>
    </dataValidation>
  </dataValidations>
  <pageMargins left="0.75" right="0.75" top="1" bottom="1" header="0.5" footer="0.5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7"/>
  <sheetViews>
    <sheetView workbookViewId="0">
      <pane ySplit="2" topLeftCell="A3" activePane="bottomLeft" state="frozen"/>
      <selection pane="bottomLeft" activeCell="C15" sqref="C15:C17"/>
    </sheetView>
  </sheetViews>
  <sheetFormatPr defaultRowHeight="14.4" x14ac:dyDescent="0.3"/>
  <cols>
    <col min="1" max="1" width="10" customWidth="1"/>
    <col min="2" max="3" width="8" customWidth="1"/>
    <col min="4" max="4" width="12" customWidth="1"/>
    <col min="5" max="7" width="16" customWidth="1"/>
  </cols>
  <sheetData>
    <row r="1" spans="1:7" ht="15.6" x14ac:dyDescent="0.3">
      <c r="A1" s="15" t="s">
        <v>83</v>
      </c>
      <c r="B1" s="16"/>
      <c r="C1" s="16"/>
      <c r="D1" s="16"/>
      <c r="E1" s="16"/>
      <c r="F1" s="16"/>
      <c r="G1" s="16"/>
    </row>
    <row r="2" spans="1:7" x14ac:dyDescent="0.3">
      <c r="A2" s="1" t="s">
        <v>1</v>
      </c>
      <c r="B2" s="1" t="s">
        <v>17</v>
      </c>
      <c r="C2" s="1" t="s">
        <v>18</v>
      </c>
      <c r="D2" s="1" t="s">
        <v>20</v>
      </c>
      <c r="E2" s="1" t="s">
        <v>84</v>
      </c>
      <c r="F2" s="1" t="s">
        <v>85</v>
      </c>
      <c r="G2" s="1" t="s">
        <v>64</v>
      </c>
    </row>
    <row r="3" spans="1:7" x14ac:dyDescent="0.3">
      <c r="A3" s="2" t="s">
        <v>478</v>
      </c>
      <c r="B3" s="3">
        <v>20</v>
      </c>
      <c r="C3" s="3">
        <v>8</v>
      </c>
      <c r="D3" s="2">
        <v>0</v>
      </c>
      <c r="E3" s="2" t="s">
        <v>86</v>
      </c>
      <c r="F3" s="2"/>
      <c r="G3" s="2"/>
    </row>
    <row r="4" spans="1:7" x14ac:dyDescent="0.3">
      <c r="A4" s="2" t="s">
        <v>479</v>
      </c>
      <c r="B4" s="3">
        <v>26</v>
      </c>
      <c r="C4" s="3">
        <v>8</v>
      </c>
      <c r="D4" s="2">
        <v>90</v>
      </c>
      <c r="E4" s="2" t="s">
        <v>87</v>
      </c>
      <c r="F4" s="2"/>
      <c r="G4" s="2"/>
    </row>
    <row r="5" spans="1:7" x14ac:dyDescent="0.3">
      <c r="A5" s="2" t="s">
        <v>480</v>
      </c>
      <c r="B5" s="3">
        <v>32</v>
      </c>
      <c r="C5" s="3">
        <v>6</v>
      </c>
      <c r="D5" s="2">
        <v>0</v>
      </c>
      <c r="E5" s="2" t="s">
        <v>88</v>
      </c>
      <c r="F5" s="2"/>
      <c r="G5" s="2"/>
    </row>
    <row r="6" spans="1:7" x14ac:dyDescent="0.3">
      <c r="A6" s="2" t="s">
        <v>481</v>
      </c>
      <c r="B6" s="3">
        <v>40</v>
      </c>
      <c r="C6" s="3">
        <v>10</v>
      </c>
      <c r="D6" s="2">
        <v>0</v>
      </c>
      <c r="E6" s="2" t="s">
        <v>89</v>
      </c>
      <c r="F6" s="2"/>
      <c r="G6" s="2"/>
    </row>
    <row r="7" spans="1:7" x14ac:dyDescent="0.3">
      <c r="A7" s="2" t="s">
        <v>482</v>
      </c>
      <c r="B7" s="3">
        <v>40</v>
      </c>
      <c r="C7" s="3">
        <v>-2</v>
      </c>
      <c r="D7" s="2">
        <v>180</v>
      </c>
      <c r="E7" s="2" t="s">
        <v>90</v>
      </c>
      <c r="F7" s="2"/>
      <c r="G7" s="3">
        <v>0</v>
      </c>
    </row>
    <row r="8" spans="1:7" x14ac:dyDescent="0.3">
      <c r="A8" s="2" t="s">
        <v>483</v>
      </c>
      <c r="B8" s="3">
        <v>54</v>
      </c>
      <c r="C8" s="3">
        <v>6</v>
      </c>
      <c r="D8" s="2">
        <v>0</v>
      </c>
      <c r="E8" s="2" t="s">
        <v>87</v>
      </c>
      <c r="F8" s="2"/>
      <c r="G8" s="2"/>
    </row>
    <row r="9" spans="1:7" x14ac:dyDescent="0.3">
      <c r="A9" s="2" t="s">
        <v>484</v>
      </c>
      <c r="B9" s="3">
        <f ca="1">RANDBETWEEN(140,165)</f>
        <v>143</v>
      </c>
      <c r="C9" s="3">
        <f ca="1">RANDBETWEEN(10,20)</f>
        <v>19</v>
      </c>
      <c r="D9" s="2">
        <v>0</v>
      </c>
      <c r="E9" s="2" t="s">
        <v>87</v>
      </c>
    </row>
    <row r="10" spans="1:7" x14ac:dyDescent="0.3">
      <c r="A10" s="2" t="s">
        <v>485</v>
      </c>
      <c r="B10" s="3">
        <f t="shared" ref="B10:B17" ca="1" si="0">RANDBETWEEN(140,165)</f>
        <v>163</v>
      </c>
      <c r="C10" s="3">
        <f t="shared" ref="C10:C17" ca="1" si="1">RANDBETWEEN(10,20)</f>
        <v>10</v>
      </c>
      <c r="D10" s="2">
        <v>0</v>
      </c>
      <c r="E10" s="2" t="s">
        <v>87</v>
      </c>
    </row>
    <row r="11" spans="1:7" x14ac:dyDescent="0.3">
      <c r="A11" s="2" t="s">
        <v>486</v>
      </c>
      <c r="B11" s="3">
        <f t="shared" ca="1" si="0"/>
        <v>143</v>
      </c>
      <c r="C11" s="3">
        <f t="shared" ca="1" si="1"/>
        <v>11</v>
      </c>
      <c r="D11" s="2">
        <v>0</v>
      </c>
      <c r="E11" s="2" t="s">
        <v>87</v>
      </c>
    </row>
    <row r="12" spans="1:7" x14ac:dyDescent="0.3">
      <c r="A12" s="2" t="s">
        <v>487</v>
      </c>
      <c r="B12" s="3">
        <f t="shared" ca="1" si="0"/>
        <v>153</v>
      </c>
      <c r="C12" s="3">
        <f t="shared" ca="1" si="1"/>
        <v>15</v>
      </c>
      <c r="D12" s="2">
        <v>0</v>
      </c>
      <c r="E12" s="2" t="s">
        <v>87</v>
      </c>
    </row>
    <row r="13" spans="1:7" x14ac:dyDescent="0.3">
      <c r="A13" s="2" t="s">
        <v>488</v>
      </c>
      <c r="B13" s="3">
        <f t="shared" ca="1" si="0"/>
        <v>150</v>
      </c>
      <c r="C13" s="3">
        <f t="shared" ca="1" si="1"/>
        <v>12</v>
      </c>
      <c r="D13" s="2">
        <v>0</v>
      </c>
      <c r="E13" s="2" t="s">
        <v>87</v>
      </c>
    </row>
    <row r="14" spans="1:7" x14ac:dyDescent="0.3">
      <c r="A14" s="2" t="s">
        <v>489</v>
      </c>
      <c r="B14" s="3">
        <f t="shared" ca="1" si="0"/>
        <v>165</v>
      </c>
      <c r="C14" s="3">
        <f t="shared" ca="1" si="1"/>
        <v>20</v>
      </c>
      <c r="D14" s="2">
        <v>0</v>
      </c>
      <c r="E14" s="2" t="s">
        <v>87</v>
      </c>
    </row>
    <row r="15" spans="1:7" x14ac:dyDescent="0.3">
      <c r="A15" s="2" t="s">
        <v>491</v>
      </c>
      <c r="B15" s="3">
        <f ca="1">RANDBETWEEN(160,170)</f>
        <v>169</v>
      </c>
      <c r="C15" s="3">
        <f ca="1">RANDBETWEEN(70,85)</f>
        <v>71</v>
      </c>
      <c r="D15" s="2">
        <v>0</v>
      </c>
      <c r="E15" s="2" t="s">
        <v>87</v>
      </c>
    </row>
    <row r="16" spans="1:7" x14ac:dyDescent="0.3">
      <c r="A16" s="2" t="s">
        <v>492</v>
      </c>
      <c r="B16" s="3">
        <f t="shared" ref="B16:B17" ca="1" si="2">RANDBETWEEN(160,170)</f>
        <v>160</v>
      </c>
      <c r="C16" s="3">
        <f t="shared" ref="C16:C17" ca="1" si="3">RANDBETWEEN(70,85)</f>
        <v>80</v>
      </c>
      <c r="D16" s="2">
        <v>0</v>
      </c>
      <c r="E16" s="2" t="s">
        <v>87</v>
      </c>
    </row>
    <row r="17" spans="1:5" x14ac:dyDescent="0.3">
      <c r="A17" s="2" t="s">
        <v>493</v>
      </c>
      <c r="B17" s="3">
        <f t="shared" ca="1" si="2"/>
        <v>164</v>
      </c>
      <c r="C17" s="3">
        <f t="shared" ca="1" si="3"/>
        <v>75</v>
      </c>
      <c r="D17" s="2">
        <v>0</v>
      </c>
      <c r="E17" s="2" t="s">
        <v>87</v>
      </c>
    </row>
  </sheetData>
  <mergeCells count="1">
    <mergeCell ref="A1:G1"/>
  </mergeCells>
  <phoneticPr fontId="4" type="noConversion"/>
  <dataValidations count="2">
    <dataValidation type="list" allowBlank="1" sqref="D3:D500" xr:uid="{00000000-0002-0000-1000-000000000000}">
      <formula1>"0,90,180,270"</formula1>
    </dataValidation>
    <dataValidation type="list" allowBlank="1" sqref="E3:E500" xr:uid="{00000000-0002-0000-1000-000001000000}">
      <formula1>"standing,walking,picking,pushing,writing,scanning,officer"</formula1>
    </dataValidation>
  </dataValidations>
  <pageMargins left="0.75" right="0.75" top="1" bottom="1" header="0.5" footer="0.5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"/>
  <sheetViews>
    <sheetView workbookViewId="0">
      <pane ySplit="2" topLeftCell="A3" activePane="bottomLeft" state="frozen"/>
      <selection pane="bottomLeft" activeCell="B4" sqref="B4"/>
    </sheetView>
  </sheetViews>
  <sheetFormatPr defaultRowHeight="14.4" x14ac:dyDescent="0.3"/>
  <cols>
    <col min="1" max="1" width="18.6640625" customWidth="1"/>
    <col min="2" max="3" width="8" customWidth="1"/>
    <col min="4" max="4" width="21.6640625" customWidth="1"/>
    <col min="5" max="5" width="14" customWidth="1"/>
    <col min="6" max="7" width="12" customWidth="1"/>
  </cols>
  <sheetData>
    <row r="1" spans="1:7" ht="15.6" x14ac:dyDescent="0.3">
      <c r="A1" s="15" t="s">
        <v>59</v>
      </c>
      <c r="B1" s="16"/>
      <c r="C1" s="16"/>
      <c r="D1" s="16"/>
      <c r="E1" s="16"/>
      <c r="F1" s="16"/>
      <c r="G1" s="16"/>
    </row>
    <row r="2" spans="1:7" x14ac:dyDescent="0.3">
      <c r="A2" s="1" t="s">
        <v>1</v>
      </c>
      <c r="B2" s="1" t="s">
        <v>17</v>
      </c>
      <c r="C2" s="1" t="s">
        <v>18</v>
      </c>
      <c r="D2" s="1" t="s">
        <v>60</v>
      </c>
      <c r="E2" s="1" t="s">
        <v>61</v>
      </c>
      <c r="F2" s="1" t="s">
        <v>20</v>
      </c>
      <c r="G2" s="1" t="s">
        <v>6</v>
      </c>
    </row>
    <row r="3" spans="1:7" x14ac:dyDescent="0.3">
      <c r="A3" t="s">
        <v>59</v>
      </c>
      <c r="B3">
        <v>155</v>
      </c>
      <c r="C3">
        <v>38</v>
      </c>
      <c r="D3">
        <v>2</v>
      </c>
      <c r="E3">
        <v>3</v>
      </c>
      <c r="F3">
        <v>0</v>
      </c>
    </row>
  </sheetData>
  <mergeCells count="1">
    <mergeCell ref="A1:G1"/>
  </mergeCells>
  <dataValidations count="1">
    <dataValidation type="list" allowBlank="1" sqref="F3:F500" xr:uid="{00000000-0002-0000-0C00-000000000000}">
      <formula1>"0,90,180,270"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Camera</vt:lpstr>
      <vt:lpstr>Areas</vt:lpstr>
      <vt:lpstr>Building</vt:lpstr>
      <vt:lpstr>Cargo Pallet</vt:lpstr>
      <vt:lpstr>Carton Pallet</vt:lpstr>
      <vt:lpstr>CCTV</vt:lpstr>
      <vt:lpstr>Conveyor</vt:lpstr>
      <vt:lpstr>Cube</vt:lpstr>
      <vt:lpstr>Customer Colours</vt:lpstr>
      <vt:lpstr>Dock Leveller</vt:lpstr>
      <vt:lpstr>Dock Shelter</vt:lpstr>
      <vt:lpstr>Extinguisher</vt:lpstr>
      <vt:lpstr>Fire Exit</vt:lpstr>
      <vt:lpstr>Fire Hose Reel Cabinet</vt:lpstr>
      <vt:lpstr>Forklifts</vt:lpstr>
      <vt:lpstr>Glass Slide Door</vt:lpstr>
      <vt:lpstr>Glass Swing Door</vt:lpstr>
      <vt:lpstr>Hi-Bay Light</vt:lpstr>
      <vt:lpstr>Hydrant</vt:lpstr>
      <vt:lpstr>Lines</vt:lpstr>
      <vt:lpstr>Louver</vt:lpstr>
      <vt:lpstr>Mezzanine</vt:lpstr>
      <vt:lpstr>Office</vt:lpstr>
      <vt:lpstr>Parking Lane</vt:lpstr>
      <vt:lpstr>Raised Floor</vt:lpstr>
      <vt:lpstr>Ramp</vt:lpstr>
      <vt:lpstr>Two Lane Road</vt:lpstr>
      <vt:lpstr>Road Connector</vt:lpstr>
      <vt:lpstr>Room</vt:lpstr>
      <vt:lpstr>Selective Rack</vt:lpstr>
      <vt:lpstr>Shutter</vt:lpstr>
      <vt:lpstr>Slide Door</vt:lpstr>
      <vt:lpstr>Slide Window</vt:lpstr>
      <vt:lpstr>Smoke Detector</vt:lpstr>
      <vt:lpstr>Sprinkler</vt:lpstr>
      <vt:lpstr>Stacker</vt:lpstr>
      <vt:lpstr>Stairs</vt:lpstr>
      <vt:lpstr>Text</vt:lpstr>
      <vt:lpstr>Vehicle</vt:lpstr>
      <vt:lpstr>Wall</vt:lpstr>
      <vt:lpstr>Workbench</vt:lpstr>
      <vt:lpstr>Worker</vt:lpstr>
      <vt:lpstr>Wrapping 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komsan kongsuwan</cp:lastModifiedBy>
  <dcterms:created xsi:type="dcterms:W3CDTF">2026-06-11T06:59:08Z</dcterms:created>
  <dcterms:modified xsi:type="dcterms:W3CDTF">2026-06-14T15:36:13Z</dcterms:modified>
</cp:coreProperties>
</file>